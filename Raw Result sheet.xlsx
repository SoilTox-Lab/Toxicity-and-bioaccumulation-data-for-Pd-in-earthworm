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cb0f5c88884ad5c/桌面/Publication/PhD publication/2_Assessing the impact of palladium oxidation states (Pd (II) vs Pd (0)) on earthworm toxicity and bioaccumulation/Submission/Environmental Research/Research data respository/"/>
    </mc:Choice>
  </mc:AlternateContent>
  <xr:revisionPtr revIDLastSave="1360" documentId="11_F25DC773A252ABDACC1048B569D853225BDE58E8" xr6:coauthVersionLast="47" xr6:coauthVersionMax="47" xr10:uidLastSave="{32B7E9A1-6C64-4035-9A52-EEA3D57009CC}"/>
  <bookViews>
    <workbookView xWindow="-120" yWindow="-120" windowWidth="29040" windowHeight="15720" xr2:uid="{00000000-000D-0000-FFFF-FFFF00000000}"/>
  </bookViews>
  <sheets>
    <sheet name="Weight loss" sheetId="1" r:id="rId1"/>
    <sheet name="Bioaccumul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G8" i="3" s="1"/>
  <c r="E9" i="3"/>
  <c r="E10" i="3"/>
  <c r="G10" i="3" s="1"/>
  <c r="E11" i="3"/>
  <c r="G11" i="3" s="1"/>
  <c r="E12" i="3"/>
  <c r="G12" i="3" s="1"/>
  <c r="E13" i="3"/>
  <c r="G13" i="3" s="1"/>
  <c r="E14" i="3"/>
  <c r="G14" i="3" s="1"/>
  <c r="E15" i="3"/>
  <c r="G15" i="3" s="1"/>
  <c r="E16" i="3"/>
  <c r="G16" i="3" s="1"/>
  <c r="E17" i="3"/>
  <c r="G17" i="3" s="1"/>
  <c r="E18" i="3"/>
  <c r="G18" i="3" s="1"/>
  <c r="E19" i="3"/>
  <c r="E20" i="3"/>
  <c r="E21" i="3"/>
  <c r="E22" i="3"/>
  <c r="G22" i="3" s="1"/>
  <c r="E23" i="3"/>
  <c r="G23" i="3" s="1"/>
  <c r="E24" i="3"/>
  <c r="E25" i="3"/>
  <c r="E26" i="3"/>
  <c r="E27" i="3"/>
  <c r="E28" i="3"/>
  <c r="G28" i="3" s="1"/>
  <c r="E2" i="3"/>
  <c r="G2" i="3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  <c r="AM2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V28" i="1"/>
  <c r="D28" i="1"/>
  <c r="V25" i="1"/>
  <c r="D25" i="1"/>
  <c r="V22" i="1"/>
  <c r="D22" i="1"/>
  <c r="V19" i="1"/>
  <c r="D19" i="1"/>
  <c r="V16" i="1"/>
  <c r="D16" i="1"/>
  <c r="V13" i="1"/>
  <c r="D13" i="1"/>
  <c r="V10" i="1"/>
  <c r="D10" i="1"/>
  <c r="V7" i="1"/>
  <c r="D7" i="1"/>
  <c r="V3" i="1"/>
  <c r="V4" i="1"/>
  <c r="V5" i="1"/>
  <c r="V6" i="1"/>
  <c r="V8" i="1"/>
  <c r="V9" i="1"/>
  <c r="V11" i="1"/>
  <c r="V12" i="1"/>
  <c r="V14" i="1"/>
  <c r="V15" i="1"/>
  <c r="V17" i="1"/>
  <c r="V18" i="1"/>
  <c r="V20" i="1"/>
  <c r="V21" i="1"/>
  <c r="V23" i="1"/>
  <c r="V24" i="1"/>
  <c r="V26" i="1"/>
  <c r="V27" i="1"/>
  <c r="V2" i="1"/>
  <c r="D4" i="1"/>
  <c r="D2" i="1"/>
  <c r="G3" i="3"/>
  <c r="G4" i="3"/>
  <c r="G5" i="3"/>
  <c r="G6" i="3"/>
  <c r="G7" i="3"/>
  <c r="G9" i="3"/>
  <c r="G19" i="3"/>
  <c r="G20" i="3"/>
  <c r="G21" i="3"/>
  <c r="G24" i="3"/>
  <c r="G25" i="3"/>
  <c r="G26" i="3"/>
  <c r="G27" i="3"/>
  <c r="D3" i="1"/>
  <c r="D5" i="1"/>
  <c r="D6" i="1"/>
  <c r="D8" i="1"/>
  <c r="D9" i="1"/>
  <c r="D11" i="1"/>
  <c r="D12" i="1"/>
  <c r="D14" i="1"/>
  <c r="D15" i="1"/>
  <c r="D17" i="1"/>
  <c r="D18" i="1"/>
  <c r="D20" i="1"/>
  <c r="D21" i="1"/>
  <c r="D23" i="1"/>
  <c r="D24" i="1"/>
  <c r="D26" i="1"/>
  <c r="D27" i="1"/>
</calcChain>
</file>

<file path=xl/sharedStrings.xml><?xml version="1.0" encoding="utf-8"?>
<sst xmlns="http://schemas.openxmlformats.org/spreadsheetml/2006/main" count="100" uniqueCount="33">
  <si>
    <t>Material</t>
    <phoneticPr fontId="1" type="noConversion"/>
  </si>
  <si>
    <t>PdCl2</t>
    <phoneticPr fontId="1" type="noConversion"/>
  </si>
  <si>
    <t>Concentration (mg/kg)</t>
    <phoneticPr fontId="1" type="noConversion"/>
  </si>
  <si>
    <t>Replicate</t>
    <phoneticPr fontId="1" type="noConversion"/>
  </si>
  <si>
    <t>Pd black</t>
    <phoneticPr fontId="1" type="noConversion"/>
  </si>
  <si>
    <t>Control</t>
    <phoneticPr fontId="1" type="noConversion"/>
  </si>
  <si>
    <t>Start number</t>
    <phoneticPr fontId="1" type="noConversion"/>
  </si>
  <si>
    <t>Weight 1</t>
    <phoneticPr fontId="1" type="noConversion"/>
  </si>
  <si>
    <t>Weight 2</t>
  </si>
  <si>
    <t>Weight 3</t>
  </si>
  <si>
    <t>Weight 4</t>
  </si>
  <si>
    <t>Weight 5</t>
  </si>
  <si>
    <t>Weight 6</t>
  </si>
  <si>
    <t>Weight 7</t>
  </si>
  <si>
    <t>Weight 8</t>
  </si>
  <si>
    <t>Weight 9</t>
  </si>
  <si>
    <t>Weight 10</t>
  </si>
  <si>
    <t>Average Start weight</t>
    <phoneticPr fontId="1" type="noConversion"/>
  </si>
  <si>
    <t>End number</t>
    <phoneticPr fontId="1" type="noConversion"/>
  </si>
  <si>
    <t>Survival rate</t>
    <phoneticPr fontId="1" type="noConversion"/>
  </si>
  <si>
    <t>Total weight (g)</t>
    <phoneticPr fontId="1" type="noConversion"/>
  </si>
  <si>
    <t>Total Pd (ug)</t>
    <phoneticPr fontId="1" type="noConversion"/>
  </si>
  <si>
    <t>Weight 11</t>
  </si>
  <si>
    <t>Weight 12</t>
  </si>
  <si>
    <t>Weight 13</t>
  </si>
  <si>
    <t>Weight 14</t>
  </si>
  <si>
    <t>Weight 15</t>
  </si>
  <si>
    <t>Average End weight</t>
    <phoneticPr fontId="1" type="noConversion"/>
  </si>
  <si>
    <t>Weight loss</t>
    <phoneticPr fontId="1" type="noConversion"/>
  </si>
  <si>
    <t>Measured Pd in ICP-MS (ug/L)</t>
    <phoneticPr fontId="1" type="noConversion"/>
  </si>
  <si>
    <t>Pd(II)</t>
    <phoneticPr fontId="1" type="noConversion"/>
  </si>
  <si>
    <t>Pd(0)</t>
    <phoneticPr fontId="1" type="noConversion"/>
  </si>
  <si>
    <t>Pd accumulation (mg/kg)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</si>
</sst>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"/>
  <sheetViews>
    <sheetView tabSelected="1" workbookViewId="0">
      <selection activeCell="V2" sqref="V2"/>
    </sheetView>
  </sheetViews>
  <sheetFormatPr defaultColWidth="9.140625" defaultRowHeight="15"/>
  <cols>
    <col min="1" max="1" width="9.140625" style="1"/>
    <col min="2" max="2" width="21.28515625" style="1" bestFit="1" customWidth="1"/>
    <col min="3" max="3" width="9.140625" style="1"/>
    <col min="4" max="4" width="14.28515625" style="1" bestFit="1" customWidth="1"/>
    <col min="5" max="5" width="14.28515625" style="1" customWidth="1"/>
    <col min="6" max="6" width="12.85546875" style="1" bestFit="1" customWidth="1"/>
    <col min="7" max="15" width="9.140625" style="1"/>
    <col min="16" max="21" width="10.28515625" style="1" bestFit="1" customWidth="1"/>
    <col min="22" max="22" width="20" style="1" bestFit="1" customWidth="1"/>
    <col min="23" max="23" width="11.85546875" style="1" bestFit="1" customWidth="1"/>
    <col min="24" max="25" width="9.140625" style="1" bestFit="1" customWidth="1"/>
    <col min="26" max="28" width="9.140625" style="1"/>
    <col min="29" max="29" width="9.140625" style="1" bestFit="1" customWidth="1"/>
    <col min="30" max="32" width="9.140625" style="1"/>
    <col min="33" max="38" width="10.28515625" style="1" bestFit="1" customWidth="1"/>
    <col min="39" max="39" width="19.5703125" style="1" bestFit="1" customWidth="1"/>
    <col min="40" max="16384" width="9.140625" style="1"/>
  </cols>
  <sheetData>
    <row r="1" spans="1:39">
      <c r="A1" s="3" t="s">
        <v>0</v>
      </c>
      <c r="B1" s="3" t="s">
        <v>2</v>
      </c>
      <c r="C1" s="3" t="s">
        <v>3</v>
      </c>
      <c r="D1" s="4" t="s">
        <v>19</v>
      </c>
      <c r="E1" s="4" t="s">
        <v>28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17</v>
      </c>
      <c r="W1" s="3" t="s">
        <v>18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13</v>
      </c>
      <c r="AE1" s="3" t="s">
        <v>14</v>
      </c>
      <c r="AF1" s="3" t="s">
        <v>15</v>
      </c>
      <c r="AG1" s="3" t="s">
        <v>16</v>
      </c>
      <c r="AH1" s="3" t="s">
        <v>22</v>
      </c>
      <c r="AI1" s="3" t="s">
        <v>23</v>
      </c>
      <c r="AJ1" s="3" t="s">
        <v>24</v>
      </c>
      <c r="AK1" s="3" t="s">
        <v>25</v>
      </c>
      <c r="AL1" s="3" t="s">
        <v>26</v>
      </c>
      <c r="AM1" s="3" t="s">
        <v>27</v>
      </c>
    </row>
    <row r="2" spans="1:39">
      <c r="A2" s="3" t="s">
        <v>1</v>
      </c>
      <c r="B2" s="3">
        <v>0.1</v>
      </c>
      <c r="C2" s="3">
        <v>1</v>
      </c>
      <c r="D2" s="3">
        <f>W2*100/F2</f>
        <v>100</v>
      </c>
      <c r="E2" s="3">
        <f>-(AM2-V2)*100/V2</f>
        <v>12.843304590694478</v>
      </c>
      <c r="F2" s="3">
        <v>15</v>
      </c>
      <c r="G2" s="3">
        <v>415.2</v>
      </c>
      <c r="H2" s="3">
        <v>265.5</v>
      </c>
      <c r="I2" s="3">
        <v>297.60000000000002</v>
      </c>
      <c r="J2" s="3">
        <v>277.89999999999998</v>
      </c>
      <c r="K2" s="3">
        <v>273.5</v>
      </c>
      <c r="L2" s="3">
        <v>321.3</v>
      </c>
      <c r="M2" s="3">
        <v>297.8</v>
      </c>
      <c r="N2" s="3">
        <v>463.8</v>
      </c>
      <c r="O2" s="3">
        <v>250.1</v>
      </c>
      <c r="P2" s="3">
        <v>243.3</v>
      </c>
      <c r="Q2" s="3">
        <v>368.1</v>
      </c>
      <c r="R2" s="3">
        <v>235.2</v>
      </c>
      <c r="S2" s="3">
        <v>331.3</v>
      </c>
      <c r="T2" s="3">
        <v>266.2</v>
      </c>
      <c r="U2" s="3">
        <v>204.5</v>
      </c>
      <c r="V2" s="3">
        <f>AVERAGE(G2:U2)</f>
        <v>300.75333333333333</v>
      </c>
      <c r="W2" s="3">
        <v>15</v>
      </c>
      <c r="X2" s="3">
        <v>268.10000000000002</v>
      </c>
      <c r="Y2" s="3">
        <v>257.2</v>
      </c>
      <c r="Z2" s="3">
        <v>281.39999999999998</v>
      </c>
      <c r="AA2" s="3">
        <v>287.7</v>
      </c>
      <c r="AB2" s="3">
        <v>251.2</v>
      </c>
      <c r="AC2" s="3">
        <v>319.10000000000002</v>
      </c>
      <c r="AD2" s="3">
        <v>353.1</v>
      </c>
      <c r="AE2" s="3">
        <v>268.7</v>
      </c>
      <c r="AF2" s="3">
        <v>257.5</v>
      </c>
      <c r="AG2" s="3">
        <v>190.5</v>
      </c>
      <c r="AH2" s="3">
        <v>346.8</v>
      </c>
      <c r="AI2" s="3">
        <v>215.2</v>
      </c>
      <c r="AJ2" s="3">
        <v>222</v>
      </c>
      <c r="AK2" s="3">
        <v>208.5</v>
      </c>
      <c r="AL2" s="3">
        <v>204.9</v>
      </c>
      <c r="AM2" s="3">
        <f>AVERAGE(X2:AL2)</f>
        <v>262.12666666666667</v>
      </c>
    </row>
    <row r="3" spans="1:39">
      <c r="A3" s="3" t="s">
        <v>1</v>
      </c>
      <c r="B3" s="3">
        <v>0.1</v>
      </c>
      <c r="C3" s="3">
        <v>2</v>
      </c>
      <c r="D3" s="3">
        <f>W3*100/F3</f>
        <v>93.333333333333329</v>
      </c>
      <c r="E3" s="3">
        <f t="shared" ref="E3:E28" si="0">-(AM3-V3)*100/V3</f>
        <v>21.34148792218754</v>
      </c>
      <c r="F3" s="3">
        <v>15</v>
      </c>
      <c r="G3" s="3">
        <v>414.6</v>
      </c>
      <c r="H3" s="3">
        <v>391</v>
      </c>
      <c r="I3" s="3">
        <v>213.8</v>
      </c>
      <c r="J3" s="3">
        <v>390.9</v>
      </c>
      <c r="K3" s="3">
        <v>375.8</v>
      </c>
      <c r="L3" s="3">
        <v>305</v>
      </c>
      <c r="M3" s="3">
        <v>455.9</v>
      </c>
      <c r="N3" s="3">
        <v>290.39999999999998</v>
      </c>
      <c r="O3" s="3">
        <v>352.2</v>
      </c>
      <c r="P3" s="3">
        <v>400.2</v>
      </c>
      <c r="Q3" s="3">
        <v>370.6</v>
      </c>
      <c r="R3" s="3">
        <v>222.8</v>
      </c>
      <c r="S3" s="3">
        <v>367.3</v>
      </c>
      <c r="T3" s="3">
        <v>331.2</v>
      </c>
      <c r="U3" s="3">
        <v>449.8</v>
      </c>
      <c r="V3" s="3">
        <f t="shared" ref="V3:V27" si="1">AVERAGE(G3:U3)</f>
        <v>355.43333333333334</v>
      </c>
      <c r="W3" s="3">
        <v>14</v>
      </c>
      <c r="X3" s="3">
        <v>292.89999999999998</v>
      </c>
      <c r="Y3" s="3">
        <v>280</v>
      </c>
      <c r="Z3" s="3">
        <v>210.3</v>
      </c>
      <c r="AA3" s="3">
        <v>283.5</v>
      </c>
      <c r="AB3" s="3">
        <v>191.5</v>
      </c>
      <c r="AC3" s="3">
        <v>294</v>
      </c>
      <c r="AD3" s="3">
        <v>302.2</v>
      </c>
      <c r="AE3" s="3">
        <v>237.1</v>
      </c>
      <c r="AF3" s="3">
        <v>346.1</v>
      </c>
      <c r="AG3" s="3">
        <v>317.2</v>
      </c>
      <c r="AH3" s="3">
        <v>275.89999999999998</v>
      </c>
      <c r="AI3" s="3">
        <v>232.8</v>
      </c>
      <c r="AJ3" s="3">
        <v>341.7</v>
      </c>
      <c r="AK3" s="3">
        <v>308.89999999999998</v>
      </c>
      <c r="AL3" s="3"/>
      <c r="AM3" s="3">
        <f t="shared" ref="AM3:AM28" si="2">AVERAGE(X3:AL3)</f>
        <v>279.57857142857142</v>
      </c>
    </row>
    <row r="4" spans="1:39">
      <c r="A4" s="3" t="s">
        <v>1</v>
      </c>
      <c r="B4" s="3">
        <v>0.1</v>
      </c>
      <c r="C4" s="3">
        <v>3</v>
      </c>
      <c r="D4" s="3">
        <f t="shared" ref="D4" si="3">W4*100/F4</f>
        <v>86.666666666666671</v>
      </c>
      <c r="E4" s="3">
        <f t="shared" si="0"/>
        <v>19.876848529311729</v>
      </c>
      <c r="F4" s="3">
        <v>15</v>
      </c>
      <c r="G4" s="3">
        <v>306.3</v>
      </c>
      <c r="H4" s="3">
        <v>418.8</v>
      </c>
      <c r="I4" s="3">
        <v>282.89999999999998</v>
      </c>
      <c r="J4" s="3">
        <v>492.8</v>
      </c>
      <c r="K4" s="3">
        <v>318.8</v>
      </c>
      <c r="L4" s="3">
        <v>415.3</v>
      </c>
      <c r="M4" s="3">
        <v>201.8</v>
      </c>
      <c r="N4" s="3">
        <v>316.10000000000002</v>
      </c>
      <c r="O4" s="3">
        <v>287.3</v>
      </c>
      <c r="P4" s="3">
        <v>373.4</v>
      </c>
      <c r="Q4" s="3">
        <v>334.2</v>
      </c>
      <c r="R4" s="3">
        <v>340.1</v>
      </c>
      <c r="S4" s="3">
        <v>444.6</v>
      </c>
      <c r="T4" s="3">
        <v>433</v>
      </c>
      <c r="U4" s="3">
        <v>235.2</v>
      </c>
      <c r="V4" s="3">
        <f t="shared" si="1"/>
        <v>346.70666666666671</v>
      </c>
      <c r="W4" s="3">
        <v>13</v>
      </c>
      <c r="X4" s="3">
        <v>302.10000000000002</v>
      </c>
      <c r="Y4" s="3">
        <v>319.60000000000002</v>
      </c>
      <c r="Z4" s="3">
        <v>310.5</v>
      </c>
      <c r="AA4" s="3">
        <v>258</v>
      </c>
      <c r="AB4" s="3">
        <v>179.5</v>
      </c>
      <c r="AC4" s="3">
        <v>325.89999999999998</v>
      </c>
      <c r="AD4" s="3">
        <v>248</v>
      </c>
      <c r="AE4" s="3">
        <v>217</v>
      </c>
      <c r="AF4" s="3">
        <v>284.39999999999998</v>
      </c>
      <c r="AG4" s="3">
        <v>344.2</v>
      </c>
      <c r="AH4" s="3">
        <v>338.8</v>
      </c>
      <c r="AI4" s="3">
        <v>232.6</v>
      </c>
      <c r="AJ4" s="3">
        <v>250.7</v>
      </c>
      <c r="AK4" s="3"/>
      <c r="AL4" s="3"/>
      <c r="AM4" s="3">
        <f t="shared" si="2"/>
        <v>277.79230769230765</v>
      </c>
    </row>
    <row r="5" spans="1:39">
      <c r="A5" s="3" t="s">
        <v>1</v>
      </c>
      <c r="B5" s="3">
        <v>1</v>
      </c>
      <c r="C5" s="3">
        <v>1</v>
      </c>
      <c r="D5" s="3">
        <f t="shared" ref="D5:D28" si="4">W5*100/F5</f>
        <v>100</v>
      </c>
      <c r="E5" s="3">
        <f t="shared" si="0"/>
        <v>17.443545846024584</v>
      </c>
      <c r="F5" s="3">
        <v>15</v>
      </c>
      <c r="G5" s="3">
        <v>254.5</v>
      </c>
      <c r="H5" s="3">
        <v>300.60000000000002</v>
      </c>
      <c r="I5" s="3">
        <v>296</v>
      </c>
      <c r="J5" s="3">
        <v>274.10000000000002</v>
      </c>
      <c r="K5" s="3">
        <v>279.8</v>
      </c>
      <c r="L5" s="3">
        <v>324.89999999999998</v>
      </c>
      <c r="M5" s="3">
        <v>327</v>
      </c>
      <c r="N5" s="3">
        <v>393.4</v>
      </c>
      <c r="O5" s="3">
        <v>387.9</v>
      </c>
      <c r="P5" s="3">
        <v>278</v>
      </c>
      <c r="Q5" s="3">
        <v>330.7</v>
      </c>
      <c r="R5" s="3">
        <v>250.6</v>
      </c>
      <c r="S5" s="3">
        <v>336.2</v>
      </c>
      <c r="T5" s="3">
        <v>319.39999999999998</v>
      </c>
      <c r="U5" s="3">
        <v>407.4</v>
      </c>
      <c r="V5" s="3">
        <f t="shared" si="1"/>
        <v>317.36666666666662</v>
      </c>
      <c r="W5" s="3">
        <v>15</v>
      </c>
      <c r="X5" s="3">
        <v>326.2</v>
      </c>
      <c r="Y5" s="3">
        <v>301.3</v>
      </c>
      <c r="Z5" s="3">
        <v>237.8</v>
      </c>
      <c r="AA5" s="3">
        <v>224.6</v>
      </c>
      <c r="AB5" s="3">
        <v>291.3</v>
      </c>
      <c r="AC5" s="3">
        <v>207</v>
      </c>
      <c r="AD5" s="3">
        <v>355.1</v>
      </c>
      <c r="AE5" s="3">
        <v>207.7</v>
      </c>
      <c r="AF5" s="3">
        <v>228.3</v>
      </c>
      <c r="AG5" s="3">
        <v>245</v>
      </c>
      <c r="AH5" s="3">
        <v>227</v>
      </c>
      <c r="AI5" s="3">
        <v>303</v>
      </c>
      <c r="AJ5" s="3">
        <v>287</v>
      </c>
      <c r="AK5" s="3">
        <v>261.2</v>
      </c>
      <c r="AL5" s="3">
        <v>227.6</v>
      </c>
      <c r="AM5" s="3">
        <f t="shared" si="2"/>
        <v>262.0066666666666</v>
      </c>
    </row>
    <row r="6" spans="1:39">
      <c r="A6" s="3" t="s">
        <v>1</v>
      </c>
      <c r="B6" s="3">
        <v>1</v>
      </c>
      <c r="C6" s="3">
        <v>2</v>
      </c>
      <c r="D6" s="3">
        <f t="shared" si="4"/>
        <v>100</v>
      </c>
      <c r="E6" s="3">
        <f t="shared" si="0"/>
        <v>17.709152626567843</v>
      </c>
      <c r="F6" s="3">
        <v>15</v>
      </c>
      <c r="G6" s="3">
        <v>345.9</v>
      </c>
      <c r="H6" s="3">
        <v>391.6</v>
      </c>
      <c r="I6" s="3">
        <v>275.5</v>
      </c>
      <c r="J6" s="3">
        <v>403.6</v>
      </c>
      <c r="K6" s="3">
        <v>327.39999999999998</v>
      </c>
      <c r="L6" s="3">
        <v>273.39999999999998</v>
      </c>
      <c r="M6" s="3">
        <v>269.10000000000002</v>
      </c>
      <c r="N6" s="3">
        <v>328.2</v>
      </c>
      <c r="O6" s="3">
        <v>252.4</v>
      </c>
      <c r="P6" s="3">
        <v>261.7</v>
      </c>
      <c r="Q6" s="3">
        <v>322.89999999999998</v>
      </c>
      <c r="R6" s="3">
        <v>370.3</v>
      </c>
      <c r="S6" s="3">
        <v>365.4</v>
      </c>
      <c r="T6" s="3">
        <v>323.2</v>
      </c>
      <c r="U6" s="3">
        <v>320.8</v>
      </c>
      <c r="V6" s="3">
        <f t="shared" si="1"/>
        <v>322.09333333333331</v>
      </c>
      <c r="W6" s="3">
        <v>15</v>
      </c>
      <c r="X6" s="3">
        <v>212.6</v>
      </c>
      <c r="Y6" s="3">
        <v>250.9</v>
      </c>
      <c r="Z6" s="3">
        <v>325.5</v>
      </c>
      <c r="AA6" s="3">
        <v>321.5</v>
      </c>
      <c r="AB6" s="3">
        <v>236.8</v>
      </c>
      <c r="AC6" s="3">
        <v>277.39999999999998</v>
      </c>
      <c r="AD6" s="3">
        <v>203.9</v>
      </c>
      <c r="AE6" s="3">
        <v>257</v>
      </c>
      <c r="AF6" s="3">
        <v>195.9</v>
      </c>
      <c r="AG6" s="3">
        <v>285.8</v>
      </c>
      <c r="AH6" s="3">
        <v>316.89999999999998</v>
      </c>
      <c r="AI6" s="3">
        <v>295</v>
      </c>
      <c r="AJ6" s="3">
        <v>285.8</v>
      </c>
      <c r="AK6" s="3">
        <v>264.5</v>
      </c>
      <c r="AL6" s="3">
        <v>246.3</v>
      </c>
      <c r="AM6" s="3">
        <f t="shared" si="2"/>
        <v>265.0533333333334</v>
      </c>
    </row>
    <row r="7" spans="1:39">
      <c r="A7" s="3" t="s">
        <v>1</v>
      </c>
      <c r="B7" s="3">
        <v>1</v>
      </c>
      <c r="C7" s="3">
        <v>3</v>
      </c>
      <c r="D7" s="3">
        <f t="shared" si="4"/>
        <v>100</v>
      </c>
      <c r="E7" s="3">
        <f t="shared" si="0"/>
        <v>13.992829935021311</v>
      </c>
      <c r="F7" s="3">
        <v>15</v>
      </c>
      <c r="G7" s="3">
        <v>316.3</v>
      </c>
      <c r="H7" s="3">
        <v>370.2</v>
      </c>
      <c r="I7" s="3">
        <v>276.39999999999998</v>
      </c>
      <c r="J7" s="3">
        <v>277.10000000000002</v>
      </c>
      <c r="K7" s="3">
        <v>287.7</v>
      </c>
      <c r="L7" s="3">
        <v>311.39999999999998</v>
      </c>
      <c r="M7" s="3">
        <v>311.2</v>
      </c>
      <c r="N7" s="3">
        <v>345</v>
      </c>
      <c r="O7" s="3">
        <v>375.1</v>
      </c>
      <c r="P7" s="3">
        <v>298.8</v>
      </c>
      <c r="Q7" s="3">
        <v>271.60000000000002</v>
      </c>
      <c r="R7" s="3">
        <v>271.2</v>
      </c>
      <c r="S7" s="3">
        <v>322.89999999999998</v>
      </c>
      <c r="T7" s="3">
        <v>23.5</v>
      </c>
      <c r="U7" s="3">
        <v>404.6</v>
      </c>
      <c r="V7" s="3">
        <f t="shared" ref="V7" si="5">AVERAGE(G7:U7)</f>
        <v>297.53333333333336</v>
      </c>
      <c r="W7" s="3">
        <v>15</v>
      </c>
      <c r="X7" s="3">
        <v>250.2</v>
      </c>
      <c r="Y7" s="3">
        <v>325</v>
      </c>
      <c r="Z7" s="3">
        <v>252</v>
      </c>
      <c r="AA7" s="3">
        <v>283</v>
      </c>
      <c r="AB7" s="3">
        <v>321.89999999999998</v>
      </c>
      <c r="AC7" s="3">
        <v>236.3</v>
      </c>
      <c r="AD7" s="3">
        <v>242.5</v>
      </c>
      <c r="AE7" s="3">
        <v>248.5</v>
      </c>
      <c r="AF7" s="3">
        <v>270.10000000000002</v>
      </c>
      <c r="AG7" s="3">
        <v>300</v>
      </c>
      <c r="AH7" s="3">
        <v>248.2</v>
      </c>
      <c r="AI7" s="3">
        <v>212.1</v>
      </c>
      <c r="AJ7" s="3">
        <v>212.1</v>
      </c>
      <c r="AK7" s="3">
        <v>220.7</v>
      </c>
      <c r="AL7" s="3">
        <v>215.9</v>
      </c>
      <c r="AM7" s="3">
        <f t="shared" si="2"/>
        <v>255.89999999999995</v>
      </c>
    </row>
    <row r="8" spans="1:39">
      <c r="A8" s="3" t="s">
        <v>1</v>
      </c>
      <c r="B8" s="3">
        <v>10</v>
      </c>
      <c r="C8" s="3">
        <v>1</v>
      </c>
      <c r="D8" s="3">
        <f t="shared" si="4"/>
        <v>93.333333333333329</v>
      </c>
      <c r="E8" s="3">
        <f t="shared" si="0"/>
        <v>11.270175137362656</v>
      </c>
      <c r="F8" s="3">
        <v>15</v>
      </c>
      <c r="G8" s="3">
        <v>306.39999999999998</v>
      </c>
      <c r="H8" s="3">
        <v>364.8</v>
      </c>
      <c r="I8" s="3">
        <v>287.89999999999998</v>
      </c>
      <c r="J8" s="3">
        <v>307.8</v>
      </c>
      <c r="K8" s="3">
        <v>261.60000000000002</v>
      </c>
      <c r="L8" s="3">
        <v>441.9</v>
      </c>
      <c r="M8" s="3">
        <v>300.5</v>
      </c>
      <c r="N8" s="3">
        <v>424.1</v>
      </c>
      <c r="O8" s="3">
        <v>408.8</v>
      </c>
      <c r="P8" s="3">
        <v>240.5</v>
      </c>
      <c r="Q8" s="3">
        <v>231.4</v>
      </c>
      <c r="R8" s="3">
        <v>439.4</v>
      </c>
      <c r="S8" s="3">
        <v>388.8</v>
      </c>
      <c r="T8" s="3">
        <v>340.1</v>
      </c>
      <c r="U8" s="3">
        <v>248</v>
      </c>
      <c r="V8" s="3">
        <f t="shared" si="1"/>
        <v>332.80000000000007</v>
      </c>
      <c r="W8" s="3">
        <v>14</v>
      </c>
      <c r="X8" s="3">
        <v>253.3</v>
      </c>
      <c r="Y8" s="3">
        <v>316.8</v>
      </c>
      <c r="Z8" s="3">
        <v>339.1</v>
      </c>
      <c r="AA8" s="3">
        <v>408</v>
      </c>
      <c r="AB8" s="3">
        <v>248.1</v>
      </c>
      <c r="AC8" s="3">
        <v>307.2</v>
      </c>
      <c r="AD8" s="3">
        <v>216.4</v>
      </c>
      <c r="AE8" s="3">
        <v>370</v>
      </c>
      <c r="AF8" s="3">
        <v>297.8</v>
      </c>
      <c r="AG8" s="3">
        <v>229.7</v>
      </c>
      <c r="AH8" s="3">
        <v>210</v>
      </c>
      <c r="AI8" s="3">
        <v>364.3</v>
      </c>
      <c r="AJ8" s="3">
        <v>353.6</v>
      </c>
      <c r="AK8" s="3">
        <v>219.8</v>
      </c>
      <c r="AL8" s="3"/>
      <c r="AM8" s="3">
        <f t="shared" si="2"/>
        <v>295.29285714285714</v>
      </c>
    </row>
    <row r="9" spans="1:39">
      <c r="A9" s="3" t="s">
        <v>1</v>
      </c>
      <c r="B9" s="3">
        <v>10</v>
      </c>
      <c r="C9" s="3">
        <v>2</v>
      </c>
      <c r="D9" s="3">
        <f t="shared" si="4"/>
        <v>100</v>
      </c>
      <c r="E9" s="3">
        <f t="shared" si="0"/>
        <v>13.013685911125162</v>
      </c>
      <c r="F9" s="3">
        <v>15</v>
      </c>
      <c r="G9" s="3">
        <v>227.5</v>
      </c>
      <c r="H9" s="3">
        <v>332.5</v>
      </c>
      <c r="I9" s="3">
        <v>343.4</v>
      </c>
      <c r="J9" s="3">
        <v>412.9</v>
      </c>
      <c r="K9" s="3">
        <v>245.2</v>
      </c>
      <c r="L9" s="3">
        <v>283</v>
      </c>
      <c r="M9" s="3">
        <v>342.9</v>
      </c>
      <c r="N9" s="3">
        <v>334.5</v>
      </c>
      <c r="O9" s="3">
        <v>472.9</v>
      </c>
      <c r="P9" s="3">
        <v>234.7</v>
      </c>
      <c r="Q9" s="3">
        <v>344.9</v>
      </c>
      <c r="R9" s="3">
        <v>311.5</v>
      </c>
      <c r="S9" s="3">
        <v>437.1</v>
      </c>
      <c r="T9" s="3">
        <v>589.29999999999995</v>
      </c>
      <c r="U9" s="3">
        <v>472.8</v>
      </c>
      <c r="V9" s="3">
        <f t="shared" si="1"/>
        <v>359.00666666666672</v>
      </c>
      <c r="W9" s="3">
        <v>15</v>
      </c>
      <c r="X9" s="3">
        <v>370.7</v>
      </c>
      <c r="Y9" s="3">
        <v>434</v>
      </c>
      <c r="Z9" s="3">
        <v>295.2</v>
      </c>
      <c r="AA9" s="3">
        <v>255.3</v>
      </c>
      <c r="AB9" s="3">
        <v>360.8</v>
      </c>
      <c r="AC9" s="3">
        <v>337.1</v>
      </c>
      <c r="AD9" s="3">
        <v>267.7</v>
      </c>
      <c r="AE9" s="3">
        <v>336.6</v>
      </c>
      <c r="AF9" s="3">
        <v>286.10000000000002</v>
      </c>
      <c r="AG9" s="3">
        <v>212.7</v>
      </c>
      <c r="AH9" s="3">
        <v>442.6</v>
      </c>
      <c r="AI9" s="3">
        <v>247.7</v>
      </c>
      <c r="AJ9" s="3">
        <v>351</v>
      </c>
      <c r="AK9" s="3">
        <v>277</v>
      </c>
      <c r="AL9" s="3">
        <v>209.8</v>
      </c>
      <c r="AM9" s="3">
        <f t="shared" si="2"/>
        <v>312.28666666666663</v>
      </c>
    </row>
    <row r="10" spans="1:39">
      <c r="A10" s="3" t="s">
        <v>1</v>
      </c>
      <c r="B10" s="3">
        <v>10</v>
      </c>
      <c r="C10" s="3">
        <v>3</v>
      </c>
      <c r="D10" s="3">
        <f t="shared" si="4"/>
        <v>100</v>
      </c>
      <c r="E10" s="3">
        <f t="shared" si="0"/>
        <v>17.542422001479022</v>
      </c>
      <c r="F10" s="3">
        <v>15</v>
      </c>
      <c r="G10" s="3">
        <v>395.4</v>
      </c>
      <c r="H10" s="3">
        <v>208.8</v>
      </c>
      <c r="I10" s="3">
        <v>263.8</v>
      </c>
      <c r="J10" s="3">
        <v>322.8</v>
      </c>
      <c r="K10" s="3">
        <v>322.2</v>
      </c>
      <c r="L10" s="3">
        <v>320.8</v>
      </c>
      <c r="M10" s="3">
        <v>327.2</v>
      </c>
      <c r="N10" s="3">
        <v>457.8</v>
      </c>
      <c r="O10" s="3">
        <v>234.3</v>
      </c>
      <c r="P10" s="3">
        <v>339</v>
      </c>
      <c r="Q10" s="3">
        <v>312.8</v>
      </c>
      <c r="R10" s="3">
        <v>352.2</v>
      </c>
      <c r="S10" s="3">
        <v>264.2</v>
      </c>
      <c r="T10" s="3">
        <v>373.5</v>
      </c>
      <c r="U10" s="3">
        <v>508.5</v>
      </c>
      <c r="V10" s="3">
        <f t="shared" ref="V10" si="6">AVERAGE(G10:U10)</f>
        <v>333.55333333333334</v>
      </c>
      <c r="W10" s="3">
        <v>15</v>
      </c>
      <c r="X10" s="3">
        <v>317.3</v>
      </c>
      <c r="Y10" s="3">
        <v>348.7</v>
      </c>
      <c r="Z10" s="3">
        <v>252.5</v>
      </c>
      <c r="AA10" s="3">
        <v>214.5</v>
      </c>
      <c r="AB10" s="3">
        <v>290.7</v>
      </c>
      <c r="AC10" s="3">
        <v>191.7</v>
      </c>
      <c r="AD10" s="3">
        <v>297.3</v>
      </c>
      <c r="AE10" s="3">
        <v>257.60000000000002</v>
      </c>
      <c r="AF10" s="3">
        <v>282.89999999999998</v>
      </c>
      <c r="AG10" s="3">
        <v>194.3</v>
      </c>
      <c r="AH10" s="3">
        <v>272.3</v>
      </c>
      <c r="AI10" s="3">
        <v>421.2</v>
      </c>
      <c r="AJ10" s="3">
        <v>222.7</v>
      </c>
      <c r="AK10" s="3">
        <v>304.60000000000002</v>
      </c>
      <c r="AL10" s="3">
        <v>257.3</v>
      </c>
      <c r="AM10" s="3">
        <f t="shared" si="2"/>
        <v>275.04000000000002</v>
      </c>
    </row>
    <row r="11" spans="1:39">
      <c r="A11" s="3" t="s">
        <v>1</v>
      </c>
      <c r="B11" s="3">
        <v>50</v>
      </c>
      <c r="C11" s="3">
        <v>1</v>
      </c>
      <c r="D11" s="3">
        <f t="shared" si="4"/>
        <v>100</v>
      </c>
      <c r="E11" s="3">
        <f t="shared" si="0"/>
        <v>31.661284535342656</v>
      </c>
      <c r="F11" s="3">
        <v>15</v>
      </c>
      <c r="G11" s="3">
        <v>529.1</v>
      </c>
      <c r="H11" s="3">
        <v>301.2</v>
      </c>
      <c r="I11" s="3">
        <v>276.2</v>
      </c>
      <c r="J11" s="3">
        <v>513.5</v>
      </c>
      <c r="K11" s="3">
        <v>324.10000000000002</v>
      </c>
      <c r="L11" s="3">
        <v>370.6</v>
      </c>
      <c r="M11" s="3">
        <v>386.4</v>
      </c>
      <c r="N11" s="3">
        <v>379.1</v>
      </c>
      <c r="O11" s="3">
        <v>418.3</v>
      </c>
      <c r="P11" s="3">
        <v>257</v>
      </c>
      <c r="Q11" s="3">
        <v>317.2</v>
      </c>
      <c r="R11" s="3">
        <v>378.5</v>
      </c>
      <c r="S11" s="3">
        <v>362.9</v>
      </c>
      <c r="T11" s="3">
        <v>421.7</v>
      </c>
      <c r="U11" s="3">
        <v>338.2</v>
      </c>
      <c r="V11" s="3">
        <f t="shared" si="1"/>
        <v>371.59999999999997</v>
      </c>
      <c r="W11" s="3">
        <v>15</v>
      </c>
      <c r="X11" s="3">
        <v>232.7</v>
      </c>
      <c r="Y11" s="3">
        <v>288.8</v>
      </c>
      <c r="Z11" s="3">
        <v>281.39999999999998</v>
      </c>
      <c r="AA11" s="3">
        <v>214.1</v>
      </c>
      <c r="AB11" s="3">
        <v>336.2</v>
      </c>
      <c r="AC11" s="3">
        <v>243.1</v>
      </c>
      <c r="AD11" s="3">
        <v>243.4</v>
      </c>
      <c r="AE11" s="3">
        <v>305.10000000000002</v>
      </c>
      <c r="AF11" s="3">
        <v>211.4</v>
      </c>
      <c r="AG11" s="3">
        <v>392</v>
      </c>
      <c r="AH11" s="3">
        <v>264.10000000000002</v>
      </c>
      <c r="AI11" s="3">
        <v>241.1</v>
      </c>
      <c r="AJ11" s="3">
        <v>207.6</v>
      </c>
      <c r="AK11" s="3">
        <v>181.7</v>
      </c>
      <c r="AL11" s="3">
        <v>166.5</v>
      </c>
      <c r="AM11" s="3">
        <f t="shared" si="2"/>
        <v>253.94666666666666</v>
      </c>
    </row>
    <row r="12" spans="1:39">
      <c r="A12" s="3" t="s">
        <v>1</v>
      </c>
      <c r="B12" s="3">
        <v>50</v>
      </c>
      <c r="C12" s="3">
        <v>2</v>
      </c>
      <c r="D12" s="3">
        <f t="shared" si="4"/>
        <v>100</v>
      </c>
      <c r="E12" s="3">
        <f t="shared" si="0"/>
        <v>25.893332765123265</v>
      </c>
      <c r="F12" s="3">
        <v>15</v>
      </c>
      <c r="G12" s="3">
        <v>388.5</v>
      </c>
      <c r="H12" s="3">
        <v>512.5</v>
      </c>
      <c r="I12" s="3">
        <v>424.3</v>
      </c>
      <c r="J12" s="3">
        <v>370.2</v>
      </c>
      <c r="K12" s="3">
        <v>351.1</v>
      </c>
      <c r="L12" s="3">
        <v>256.89999999999998</v>
      </c>
      <c r="M12" s="3">
        <v>298.5</v>
      </c>
      <c r="N12" s="3">
        <v>382.6</v>
      </c>
      <c r="O12" s="3">
        <v>250.3</v>
      </c>
      <c r="P12" s="3">
        <v>24.1</v>
      </c>
      <c r="Q12" s="3">
        <v>298.5</v>
      </c>
      <c r="R12" s="3">
        <v>233.4</v>
      </c>
      <c r="S12" s="3">
        <v>285</v>
      </c>
      <c r="T12" s="3">
        <v>322.3</v>
      </c>
      <c r="U12" s="3">
        <v>294.89999999999998</v>
      </c>
      <c r="V12" s="3">
        <f t="shared" si="1"/>
        <v>312.87333333333328</v>
      </c>
      <c r="W12" s="3">
        <v>15</v>
      </c>
      <c r="X12" s="3">
        <v>217.6</v>
      </c>
      <c r="Y12" s="3">
        <v>229.7</v>
      </c>
      <c r="Z12" s="3">
        <v>198.4</v>
      </c>
      <c r="AA12" s="3">
        <v>278.89999999999998</v>
      </c>
      <c r="AB12" s="3">
        <v>301.10000000000002</v>
      </c>
      <c r="AC12" s="3">
        <v>211.8</v>
      </c>
      <c r="AD12" s="3">
        <v>167.2</v>
      </c>
      <c r="AE12" s="3">
        <v>180</v>
      </c>
      <c r="AF12" s="3">
        <v>199.6</v>
      </c>
      <c r="AG12" s="3">
        <v>180.3</v>
      </c>
      <c r="AH12" s="3">
        <v>300.60000000000002</v>
      </c>
      <c r="AI12" s="3">
        <v>217.2</v>
      </c>
      <c r="AJ12" s="3">
        <v>266.7</v>
      </c>
      <c r="AK12" s="3">
        <v>334.7</v>
      </c>
      <c r="AL12" s="3">
        <v>194.1</v>
      </c>
      <c r="AM12" s="3">
        <f t="shared" si="2"/>
        <v>231.85999999999996</v>
      </c>
    </row>
    <row r="13" spans="1:39">
      <c r="A13" s="3" t="s">
        <v>1</v>
      </c>
      <c r="B13" s="3">
        <v>50</v>
      </c>
      <c r="C13" s="3">
        <v>3</v>
      </c>
      <c r="D13" s="3">
        <f t="shared" si="4"/>
        <v>100</v>
      </c>
      <c r="E13" s="3">
        <f t="shared" si="0"/>
        <v>34.093003255728242</v>
      </c>
      <c r="F13" s="3">
        <v>15</v>
      </c>
      <c r="G13" s="3">
        <v>280.89999999999998</v>
      </c>
      <c r="H13" s="3">
        <v>371.1</v>
      </c>
      <c r="I13" s="3">
        <v>417.6</v>
      </c>
      <c r="J13" s="3">
        <v>325.39999999999998</v>
      </c>
      <c r="K13" s="3">
        <v>404.6</v>
      </c>
      <c r="L13" s="3">
        <v>307.60000000000002</v>
      </c>
      <c r="M13" s="3">
        <v>238.5</v>
      </c>
      <c r="N13" s="3">
        <v>333.1</v>
      </c>
      <c r="O13" s="3">
        <v>274.5</v>
      </c>
      <c r="P13" s="3">
        <v>440.2</v>
      </c>
      <c r="Q13" s="3">
        <v>300</v>
      </c>
      <c r="R13" s="3">
        <v>214</v>
      </c>
      <c r="S13" s="3">
        <v>335.7</v>
      </c>
      <c r="T13" s="3">
        <v>300.39999999999998</v>
      </c>
      <c r="U13" s="3">
        <v>340.1</v>
      </c>
      <c r="V13" s="3">
        <f t="shared" ref="V13" si="7">AVERAGE(G13:U13)</f>
        <v>325.58</v>
      </c>
      <c r="W13" s="3">
        <v>15</v>
      </c>
      <c r="X13" s="3">
        <v>178.1</v>
      </c>
      <c r="Y13" s="3">
        <v>190.6</v>
      </c>
      <c r="Z13" s="3">
        <v>194.9</v>
      </c>
      <c r="AA13" s="3">
        <v>263.89999999999998</v>
      </c>
      <c r="AB13" s="3">
        <v>209.6</v>
      </c>
      <c r="AC13" s="3">
        <v>195.6</v>
      </c>
      <c r="AD13" s="3">
        <v>241.5</v>
      </c>
      <c r="AE13" s="3">
        <v>304.8</v>
      </c>
      <c r="AF13" s="3">
        <v>253.8</v>
      </c>
      <c r="AG13" s="3">
        <v>199.3</v>
      </c>
      <c r="AH13" s="3">
        <v>194.2</v>
      </c>
      <c r="AI13" s="3">
        <v>174.1</v>
      </c>
      <c r="AJ13" s="3">
        <v>157.4</v>
      </c>
      <c r="AK13" s="3">
        <v>230</v>
      </c>
      <c r="AL13" s="3">
        <v>230.9</v>
      </c>
      <c r="AM13" s="3">
        <f t="shared" si="2"/>
        <v>214.57999999999998</v>
      </c>
    </row>
    <row r="14" spans="1:39">
      <c r="A14" s="3" t="s">
        <v>4</v>
      </c>
      <c r="B14" s="3">
        <v>0.1</v>
      </c>
      <c r="C14" s="3">
        <v>1</v>
      </c>
      <c r="D14" s="3">
        <f t="shared" si="4"/>
        <v>100</v>
      </c>
      <c r="E14" s="3">
        <f t="shared" si="0"/>
        <v>23.571641051065953</v>
      </c>
      <c r="F14" s="3">
        <v>15</v>
      </c>
      <c r="G14" s="3">
        <v>259.3</v>
      </c>
      <c r="H14" s="3">
        <v>283.2</v>
      </c>
      <c r="I14" s="3">
        <v>231.8</v>
      </c>
      <c r="J14" s="3">
        <v>284.8</v>
      </c>
      <c r="K14" s="3">
        <v>371.5</v>
      </c>
      <c r="L14" s="3">
        <v>389.1</v>
      </c>
      <c r="M14" s="3">
        <v>364.5</v>
      </c>
      <c r="N14" s="3">
        <v>449.3</v>
      </c>
      <c r="O14" s="3">
        <v>456.3</v>
      </c>
      <c r="P14" s="3">
        <v>251</v>
      </c>
      <c r="Q14" s="3">
        <v>377.5</v>
      </c>
      <c r="R14" s="3">
        <v>300.89999999999998</v>
      </c>
      <c r="S14" s="3">
        <v>320</v>
      </c>
      <c r="T14" s="3">
        <v>324.5</v>
      </c>
      <c r="U14" s="3">
        <v>378.8</v>
      </c>
      <c r="V14" s="3">
        <f t="shared" si="1"/>
        <v>336.16666666666674</v>
      </c>
      <c r="W14" s="3">
        <v>15</v>
      </c>
      <c r="X14" s="3">
        <v>277.10000000000002</v>
      </c>
      <c r="Y14" s="3">
        <v>383.3</v>
      </c>
      <c r="Z14" s="3">
        <v>296.7</v>
      </c>
      <c r="AA14" s="3">
        <v>294.7</v>
      </c>
      <c r="AB14" s="3">
        <v>217.4</v>
      </c>
      <c r="AC14" s="3">
        <v>218.2</v>
      </c>
      <c r="AD14" s="3">
        <v>214.4</v>
      </c>
      <c r="AE14" s="3">
        <v>207.3</v>
      </c>
      <c r="AF14" s="3">
        <v>198.2</v>
      </c>
      <c r="AG14" s="3">
        <v>252.4</v>
      </c>
      <c r="AH14" s="3">
        <v>266.60000000000002</v>
      </c>
      <c r="AI14" s="3">
        <v>385</v>
      </c>
      <c r="AJ14" s="3">
        <v>174.3</v>
      </c>
      <c r="AK14" s="3">
        <v>215.7</v>
      </c>
      <c r="AL14" s="3">
        <v>252.6</v>
      </c>
      <c r="AM14" s="3">
        <f t="shared" si="2"/>
        <v>256.92666666666668</v>
      </c>
    </row>
    <row r="15" spans="1:39">
      <c r="A15" s="3" t="s">
        <v>4</v>
      </c>
      <c r="B15" s="3">
        <v>0.1</v>
      </c>
      <c r="C15" s="3">
        <v>2</v>
      </c>
      <c r="D15" s="3">
        <f t="shared" si="4"/>
        <v>93.333333333333329</v>
      </c>
      <c r="E15" s="3">
        <f t="shared" si="0"/>
        <v>19.880583812472349</v>
      </c>
      <c r="F15" s="3">
        <v>15</v>
      </c>
      <c r="G15" s="3">
        <v>375.1</v>
      </c>
      <c r="H15" s="3">
        <v>280.10000000000002</v>
      </c>
      <c r="I15" s="3">
        <v>226.7</v>
      </c>
      <c r="J15" s="3">
        <v>249.3</v>
      </c>
      <c r="K15" s="3">
        <v>286.7</v>
      </c>
      <c r="L15" s="3">
        <v>270.60000000000002</v>
      </c>
      <c r="M15" s="3">
        <v>205.5</v>
      </c>
      <c r="N15" s="3">
        <v>241.2</v>
      </c>
      <c r="O15" s="3">
        <v>232.5</v>
      </c>
      <c r="P15" s="3">
        <v>228.7</v>
      </c>
      <c r="Q15" s="3">
        <v>201.7</v>
      </c>
      <c r="R15" s="3">
        <v>400.1</v>
      </c>
      <c r="S15" s="3">
        <v>205.3</v>
      </c>
      <c r="T15" s="3">
        <v>243.8</v>
      </c>
      <c r="U15" s="3">
        <v>228.7</v>
      </c>
      <c r="V15" s="3">
        <f t="shared" si="1"/>
        <v>258.39999999999998</v>
      </c>
      <c r="W15" s="3">
        <v>14</v>
      </c>
      <c r="X15" s="3">
        <v>250</v>
      </c>
      <c r="Y15" s="3">
        <v>349.4</v>
      </c>
      <c r="Z15" s="3">
        <v>162.30000000000001</v>
      </c>
      <c r="AA15" s="3">
        <v>192.2</v>
      </c>
      <c r="AB15" s="3">
        <v>186.3</v>
      </c>
      <c r="AC15" s="3">
        <v>301.10000000000002</v>
      </c>
      <c r="AD15" s="3">
        <v>201.7</v>
      </c>
      <c r="AE15" s="3">
        <v>170.1</v>
      </c>
      <c r="AF15" s="3">
        <v>144.30000000000001</v>
      </c>
      <c r="AG15" s="3">
        <v>179.5</v>
      </c>
      <c r="AH15" s="3">
        <v>221.6</v>
      </c>
      <c r="AI15" s="3">
        <v>191.5</v>
      </c>
      <c r="AJ15" s="3">
        <v>157</v>
      </c>
      <c r="AK15" s="3">
        <v>191.4</v>
      </c>
      <c r="AL15" s="3"/>
      <c r="AM15" s="3">
        <f t="shared" si="2"/>
        <v>207.02857142857144</v>
      </c>
    </row>
    <row r="16" spans="1:39">
      <c r="A16" s="3" t="s">
        <v>4</v>
      </c>
      <c r="B16" s="3">
        <v>0.1</v>
      </c>
      <c r="C16" s="3">
        <v>3</v>
      </c>
      <c r="D16" s="3">
        <f t="shared" si="4"/>
        <v>93.333333333333329</v>
      </c>
      <c r="E16" s="3">
        <f t="shared" si="0"/>
        <v>19.563216763414992</v>
      </c>
      <c r="F16" s="3">
        <v>15</v>
      </c>
      <c r="G16" s="3">
        <v>328.8</v>
      </c>
      <c r="H16" s="3">
        <v>244.8</v>
      </c>
      <c r="I16" s="3">
        <v>402.2</v>
      </c>
      <c r="J16" s="3">
        <v>300.2</v>
      </c>
      <c r="K16" s="3">
        <v>240.5</v>
      </c>
      <c r="L16" s="3">
        <v>292.3</v>
      </c>
      <c r="M16" s="3">
        <v>296</v>
      </c>
      <c r="N16" s="3">
        <v>447.7</v>
      </c>
      <c r="O16" s="3">
        <v>304.8</v>
      </c>
      <c r="P16" s="3">
        <v>393.6</v>
      </c>
      <c r="Q16" s="3">
        <v>355.7</v>
      </c>
      <c r="R16" s="3">
        <v>381.8</v>
      </c>
      <c r="S16" s="3">
        <v>223.4</v>
      </c>
      <c r="T16" s="3">
        <v>305.89999999999998</v>
      </c>
      <c r="U16" s="3">
        <v>325.5</v>
      </c>
      <c r="V16" s="3">
        <f t="shared" ref="V16" si="8">AVERAGE(G16:U16)</f>
        <v>322.88</v>
      </c>
      <c r="W16" s="3">
        <v>14</v>
      </c>
      <c r="X16" s="3">
        <v>231.7</v>
      </c>
      <c r="Y16" s="3">
        <v>241.6</v>
      </c>
      <c r="Z16" s="3">
        <v>316.10000000000002</v>
      </c>
      <c r="AA16" s="3">
        <v>321.5</v>
      </c>
      <c r="AB16" s="3">
        <v>310.3</v>
      </c>
      <c r="AC16" s="3">
        <v>246.6</v>
      </c>
      <c r="AD16" s="3">
        <v>151.5</v>
      </c>
      <c r="AE16" s="3">
        <v>190</v>
      </c>
      <c r="AF16" s="3">
        <v>179.1</v>
      </c>
      <c r="AG16" s="3">
        <v>402.7</v>
      </c>
      <c r="AH16" s="3">
        <v>311</v>
      </c>
      <c r="AI16" s="3">
        <v>239.6</v>
      </c>
      <c r="AJ16" s="3">
        <v>228.2</v>
      </c>
      <c r="AK16" s="3">
        <v>266.10000000000002</v>
      </c>
      <c r="AL16" s="3"/>
      <c r="AM16" s="3">
        <f t="shared" si="2"/>
        <v>259.71428571428567</v>
      </c>
    </row>
    <row r="17" spans="1:39">
      <c r="A17" s="3" t="s">
        <v>4</v>
      </c>
      <c r="B17" s="3">
        <v>1</v>
      </c>
      <c r="C17" s="3">
        <v>1</v>
      </c>
      <c r="D17" s="3">
        <f t="shared" si="4"/>
        <v>100</v>
      </c>
      <c r="E17" s="3">
        <f t="shared" si="0"/>
        <v>18.247444286612481</v>
      </c>
      <c r="F17" s="3">
        <v>15</v>
      </c>
      <c r="G17" s="3">
        <v>251.4</v>
      </c>
      <c r="H17" s="3">
        <v>276.8</v>
      </c>
      <c r="I17" s="3">
        <v>259.7</v>
      </c>
      <c r="J17" s="3">
        <v>310.8</v>
      </c>
      <c r="K17" s="3">
        <v>235.4</v>
      </c>
      <c r="L17" s="3">
        <v>333.4</v>
      </c>
      <c r="M17" s="3">
        <v>261</v>
      </c>
      <c r="N17" s="3">
        <v>409</v>
      </c>
      <c r="O17" s="3">
        <v>299.2</v>
      </c>
      <c r="P17" s="3">
        <v>235.2</v>
      </c>
      <c r="Q17" s="3">
        <v>218.7</v>
      </c>
      <c r="R17" s="3">
        <v>234.3</v>
      </c>
      <c r="S17" s="3">
        <v>276.39999999999998</v>
      </c>
      <c r="T17" s="3">
        <v>286.7</v>
      </c>
      <c r="U17" s="3">
        <v>406.3</v>
      </c>
      <c r="V17" s="3">
        <f t="shared" si="1"/>
        <v>286.28666666666663</v>
      </c>
      <c r="W17" s="3">
        <v>15</v>
      </c>
      <c r="X17" s="3">
        <v>223</v>
      </c>
      <c r="Y17" s="3">
        <v>250.6</v>
      </c>
      <c r="Z17" s="3">
        <v>198</v>
      </c>
      <c r="AA17" s="3">
        <v>226.9</v>
      </c>
      <c r="AB17" s="3">
        <v>339.2</v>
      </c>
      <c r="AC17" s="3">
        <v>220.6</v>
      </c>
      <c r="AD17" s="3">
        <v>213.7</v>
      </c>
      <c r="AE17" s="3">
        <v>219.9</v>
      </c>
      <c r="AF17" s="3">
        <v>328.1</v>
      </c>
      <c r="AG17" s="3">
        <v>174.4</v>
      </c>
      <c r="AH17" s="3">
        <v>250.5</v>
      </c>
      <c r="AI17" s="3">
        <v>232.7</v>
      </c>
      <c r="AJ17" s="3">
        <v>199.4</v>
      </c>
      <c r="AK17" s="3">
        <v>250.6</v>
      </c>
      <c r="AL17" s="3">
        <v>183.1</v>
      </c>
      <c r="AM17" s="3">
        <f t="shared" si="2"/>
        <v>234.04666666666665</v>
      </c>
    </row>
    <row r="18" spans="1:39">
      <c r="A18" s="3" t="s">
        <v>4</v>
      </c>
      <c r="B18" s="3">
        <v>1</v>
      </c>
      <c r="C18" s="3">
        <v>2</v>
      </c>
      <c r="D18" s="3">
        <f t="shared" si="4"/>
        <v>100</v>
      </c>
      <c r="E18" s="3">
        <f t="shared" si="0"/>
        <v>21.806950339924754</v>
      </c>
      <c r="F18" s="3">
        <v>15</v>
      </c>
      <c r="G18" s="3">
        <v>484.9</v>
      </c>
      <c r="H18" s="3">
        <v>444.7</v>
      </c>
      <c r="I18" s="3">
        <v>459.5</v>
      </c>
      <c r="J18" s="3">
        <v>457.1</v>
      </c>
      <c r="K18" s="3">
        <v>367.4</v>
      </c>
      <c r="L18" s="3">
        <v>364.9</v>
      </c>
      <c r="M18" s="3">
        <v>337.7</v>
      </c>
      <c r="N18" s="3">
        <v>410.6</v>
      </c>
      <c r="O18" s="3">
        <v>411.6</v>
      </c>
      <c r="P18" s="3">
        <v>348.5</v>
      </c>
      <c r="Q18" s="3">
        <v>204.2</v>
      </c>
      <c r="R18" s="3">
        <v>294.7</v>
      </c>
      <c r="S18" s="3">
        <v>383.1</v>
      </c>
      <c r="T18" s="3">
        <v>466.4</v>
      </c>
      <c r="U18" s="3">
        <v>360.1</v>
      </c>
      <c r="V18" s="3">
        <f t="shared" si="1"/>
        <v>386.35999999999996</v>
      </c>
      <c r="W18" s="3">
        <v>15</v>
      </c>
      <c r="X18" s="3">
        <v>329.9</v>
      </c>
      <c r="Y18" s="3">
        <v>301.3</v>
      </c>
      <c r="Z18" s="3">
        <v>372.6</v>
      </c>
      <c r="AA18" s="3">
        <v>215.2</v>
      </c>
      <c r="AB18" s="3">
        <v>399.4</v>
      </c>
      <c r="AC18" s="3">
        <v>388</v>
      </c>
      <c r="AD18" s="3">
        <v>273</v>
      </c>
      <c r="AE18" s="3">
        <v>407.1</v>
      </c>
      <c r="AF18" s="3">
        <v>186.3</v>
      </c>
      <c r="AG18" s="3">
        <v>213.3</v>
      </c>
      <c r="AH18" s="3">
        <v>318.3</v>
      </c>
      <c r="AI18" s="3">
        <v>329.9</v>
      </c>
      <c r="AJ18" s="3">
        <v>318.3</v>
      </c>
      <c r="AK18" s="3">
        <v>263</v>
      </c>
      <c r="AL18" s="3">
        <v>216</v>
      </c>
      <c r="AM18" s="3">
        <f t="shared" si="2"/>
        <v>302.10666666666668</v>
      </c>
    </row>
    <row r="19" spans="1:39">
      <c r="A19" s="3" t="s">
        <v>4</v>
      </c>
      <c r="B19" s="3">
        <v>1</v>
      </c>
      <c r="C19" s="3">
        <v>3</v>
      </c>
      <c r="D19" s="3">
        <f t="shared" si="4"/>
        <v>93.333333333333329</v>
      </c>
      <c r="E19" s="3">
        <f t="shared" si="0"/>
        <v>30.917641781987516</v>
      </c>
      <c r="F19" s="3">
        <v>15</v>
      </c>
      <c r="G19" s="3">
        <v>419.2</v>
      </c>
      <c r="H19" s="3">
        <v>356.9</v>
      </c>
      <c r="I19" s="3">
        <v>304.8</v>
      </c>
      <c r="J19" s="3">
        <v>390.5</v>
      </c>
      <c r="K19" s="3">
        <v>395.7</v>
      </c>
      <c r="L19" s="3">
        <v>341.8</v>
      </c>
      <c r="M19" s="3">
        <v>395.2</v>
      </c>
      <c r="N19" s="3">
        <v>390.6</v>
      </c>
      <c r="O19" s="3">
        <v>277.60000000000002</v>
      </c>
      <c r="P19" s="3">
        <v>424.3</v>
      </c>
      <c r="Q19" s="3">
        <v>322.39999999999998</v>
      </c>
      <c r="R19" s="3">
        <v>338.8</v>
      </c>
      <c r="S19" s="3">
        <v>349.9</v>
      </c>
      <c r="T19" s="3">
        <v>408.7</v>
      </c>
      <c r="U19" s="3">
        <v>298.10000000000002</v>
      </c>
      <c r="V19" s="3">
        <f t="shared" ref="V19" si="9">AVERAGE(G19:U19)</f>
        <v>360.96666666666664</v>
      </c>
      <c r="W19" s="3">
        <v>14</v>
      </c>
      <c r="X19" s="3">
        <v>236.4</v>
      </c>
      <c r="Y19" s="3">
        <v>155.19999999999999</v>
      </c>
      <c r="Z19" s="3">
        <v>374</v>
      </c>
      <c r="AA19" s="3">
        <v>314</v>
      </c>
      <c r="AB19" s="3">
        <v>306.3</v>
      </c>
      <c r="AC19" s="3">
        <v>218.5</v>
      </c>
      <c r="AD19" s="3">
        <v>259.60000000000002</v>
      </c>
      <c r="AE19" s="3">
        <v>284.10000000000002</v>
      </c>
      <c r="AF19" s="3">
        <v>209.1</v>
      </c>
      <c r="AG19" s="3">
        <v>274.2</v>
      </c>
      <c r="AH19" s="3">
        <v>236.7</v>
      </c>
      <c r="AI19" s="3">
        <v>189.9</v>
      </c>
      <c r="AJ19" s="3">
        <v>238.3</v>
      </c>
      <c r="AK19" s="3">
        <v>194.8</v>
      </c>
      <c r="AL19" s="3"/>
      <c r="AM19" s="3">
        <f t="shared" si="2"/>
        <v>249.3642857142857</v>
      </c>
    </row>
    <row r="20" spans="1:39">
      <c r="A20" s="3" t="s">
        <v>4</v>
      </c>
      <c r="B20" s="3">
        <v>10</v>
      </c>
      <c r="C20" s="3">
        <v>1</v>
      </c>
      <c r="D20" s="3">
        <f t="shared" si="4"/>
        <v>100</v>
      </c>
      <c r="E20" s="3">
        <f t="shared" si="0"/>
        <v>19.52200616133273</v>
      </c>
      <c r="F20" s="3">
        <v>15</v>
      </c>
      <c r="G20" s="3">
        <v>276</v>
      </c>
      <c r="H20" s="3">
        <v>393</v>
      </c>
      <c r="I20" s="3">
        <v>250.1</v>
      </c>
      <c r="J20" s="3">
        <v>378.8</v>
      </c>
      <c r="K20" s="3">
        <v>239.1</v>
      </c>
      <c r="L20" s="3">
        <v>280.39999999999998</v>
      </c>
      <c r="M20" s="3">
        <v>342.2</v>
      </c>
      <c r="N20" s="3">
        <v>449.6</v>
      </c>
      <c r="O20" s="3">
        <v>287</v>
      </c>
      <c r="P20" s="3">
        <v>380.4</v>
      </c>
      <c r="Q20" s="3">
        <v>304.10000000000002</v>
      </c>
      <c r="R20" s="3">
        <v>376.8</v>
      </c>
      <c r="S20" s="3">
        <v>412.5</v>
      </c>
      <c r="T20" s="3">
        <v>316.89999999999998</v>
      </c>
      <c r="U20" s="3">
        <v>409.4</v>
      </c>
      <c r="V20" s="3">
        <f t="shared" si="1"/>
        <v>339.75333333333327</v>
      </c>
      <c r="W20" s="3">
        <v>15</v>
      </c>
      <c r="X20" s="3">
        <v>314.5</v>
      </c>
      <c r="Y20" s="3">
        <v>268.2</v>
      </c>
      <c r="Z20" s="3">
        <v>264.89999999999998</v>
      </c>
      <c r="AA20" s="3">
        <v>383.2</v>
      </c>
      <c r="AB20" s="3">
        <v>216.1</v>
      </c>
      <c r="AC20" s="3">
        <v>317.7</v>
      </c>
      <c r="AD20" s="3">
        <v>328.8</v>
      </c>
      <c r="AE20" s="3">
        <v>335.1</v>
      </c>
      <c r="AF20" s="3">
        <v>341.4</v>
      </c>
      <c r="AG20" s="3">
        <v>231.8</v>
      </c>
      <c r="AH20" s="3">
        <v>211.9</v>
      </c>
      <c r="AI20" s="3">
        <v>300.2</v>
      </c>
      <c r="AJ20" s="3">
        <v>223.7</v>
      </c>
      <c r="AK20" s="3">
        <v>231.1</v>
      </c>
      <c r="AL20" s="3">
        <v>132.80000000000001</v>
      </c>
      <c r="AM20" s="3">
        <f t="shared" si="2"/>
        <v>273.42666666666662</v>
      </c>
    </row>
    <row r="21" spans="1:39">
      <c r="A21" s="3" t="s">
        <v>4</v>
      </c>
      <c r="B21" s="3">
        <v>10</v>
      </c>
      <c r="C21" s="3">
        <v>2</v>
      </c>
      <c r="D21" s="3">
        <f t="shared" si="4"/>
        <v>100</v>
      </c>
      <c r="E21" s="3">
        <f t="shared" si="0"/>
        <v>30.697443040493496</v>
      </c>
      <c r="F21" s="3">
        <v>15</v>
      </c>
      <c r="G21" s="3">
        <v>370.3</v>
      </c>
      <c r="H21" s="3">
        <v>253.9</v>
      </c>
      <c r="I21" s="3">
        <v>355.3</v>
      </c>
      <c r="J21" s="3">
        <v>322.3</v>
      </c>
      <c r="K21" s="3">
        <v>358.3</v>
      </c>
      <c r="L21" s="3">
        <v>332.7</v>
      </c>
      <c r="M21" s="3">
        <v>389.9</v>
      </c>
      <c r="N21" s="3">
        <v>268.39999999999998</v>
      </c>
      <c r="O21" s="3">
        <v>257.8</v>
      </c>
      <c r="P21" s="3">
        <v>463.8</v>
      </c>
      <c r="Q21" s="3">
        <v>407.2</v>
      </c>
      <c r="R21" s="3">
        <v>404.2</v>
      </c>
      <c r="S21" s="3">
        <v>309.39999999999998</v>
      </c>
      <c r="T21" s="3">
        <v>307.2</v>
      </c>
      <c r="U21" s="3">
        <v>224.8</v>
      </c>
      <c r="V21" s="3">
        <f t="shared" si="1"/>
        <v>335.03333333333336</v>
      </c>
      <c r="W21" s="3">
        <v>15</v>
      </c>
      <c r="X21" s="3">
        <v>252.4</v>
      </c>
      <c r="Y21" s="3">
        <v>246.9</v>
      </c>
      <c r="Z21" s="3">
        <v>312.89999999999998</v>
      </c>
      <c r="AA21" s="3">
        <v>278.2</v>
      </c>
      <c r="AB21" s="3">
        <v>217.8</v>
      </c>
      <c r="AC21" s="3">
        <v>143.19999999999999</v>
      </c>
      <c r="AD21" s="3">
        <v>326.5</v>
      </c>
      <c r="AE21" s="3">
        <v>253.4</v>
      </c>
      <c r="AF21" s="3">
        <v>189.7</v>
      </c>
      <c r="AG21" s="3">
        <v>231.5</v>
      </c>
      <c r="AH21" s="3">
        <v>270.10000000000002</v>
      </c>
      <c r="AI21" s="3">
        <v>260.5</v>
      </c>
      <c r="AJ21" s="3">
        <v>174.5</v>
      </c>
      <c r="AK21" s="3">
        <v>161.1</v>
      </c>
      <c r="AL21" s="3">
        <v>164.1</v>
      </c>
      <c r="AM21" s="3">
        <f t="shared" si="2"/>
        <v>232.18666666666664</v>
      </c>
    </row>
    <row r="22" spans="1:39">
      <c r="A22" s="3" t="s">
        <v>4</v>
      </c>
      <c r="B22" s="3">
        <v>10</v>
      </c>
      <c r="C22" s="3">
        <v>3</v>
      </c>
      <c r="D22" s="3">
        <f t="shared" si="4"/>
        <v>93.333333333333329</v>
      </c>
      <c r="E22" s="3">
        <f t="shared" si="0"/>
        <v>27.045691372995901</v>
      </c>
      <c r="F22" s="3">
        <v>15</v>
      </c>
      <c r="G22" s="3">
        <v>312.5</v>
      </c>
      <c r="H22" s="3">
        <v>340.1</v>
      </c>
      <c r="I22" s="3">
        <v>259.8</v>
      </c>
      <c r="J22" s="3">
        <v>368.7</v>
      </c>
      <c r="K22" s="3">
        <v>276.7</v>
      </c>
      <c r="L22" s="3">
        <v>453.2</v>
      </c>
      <c r="M22" s="3">
        <v>362.4</v>
      </c>
      <c r="N22" s="3">
        <v>261.2</v>
      </c>
      <c r="O22" s="3">
        <v>327.39999999999998</v>
      </c>
      <c r="P22" s="3">
        <v>254.6</v>
      </c>
      <c r="Q22" s="3">
        <v>312</v>
      </c>
      <c r="R22" s="3">
        <v>211.6</v>
      </c>
      <c r="S22" s="3">
        <v>286.39999999999998</v>
      </c>
      <c r="T22" s="3">
        <v>332.1</v>
      </c>
      <c r="U22" s="3">
        <v>329.9</v>
      </c>
      <c r="V22" s="3">
        <f t="shared" ref="V22" si="10">AVERAGE(G22:U22)</f>
        <v>312.57333333333332</v>
      </c>
      <c r="W22" s="3">
        <v>14</v>
      </c>
      <c r="X22" s="3">
        <v>229</v>
      </c>
      <c r="Y22" s="3">
        <v>261.39999999999998</v>
      </c>
      <c r="Z22" s="3">
        <v>325.8</v>
      </c>
      <c r="AA22" s="3">
        <v>209.8</v>
      </c>
      <c r="AB22" s="3">
        <v>259</v>
      </c>
      <c r="AC22" s="3">
        <v>208.2</v>
      </c>
      <c r="AD22" s="3">
        <v>199</v>
      </c>
      <c r="AE22" s="3">
        <v>173.2</v>
      </c>
      <c r="AF22" s="3">
        <v>233.9</v>
      </c>
      <c r="AG22" s="3">
        <v>188.6</v>
      </c>
      <c r="AH22" s="3">
        <v>153.9</v>
      </c>
      <c r="AI22" s="3">
        <v>315.10000000000002</v>
      </c>
      <c r="AJ22" s="3">
        <v>235.9</v>
      </c>
      <c r="AK22" s="3">
        <v>199.7</v>
      </c>
      <c r="AL22" s="3"/>
      <c r="AM22" s="3">
        <f t="shared" si="2"/>
        <v>228.03571428571428</v>
      </c>
    </row>
    <row r="23" spans="1:39">
      <c r="A23" s="3" t="s">
        <v>4</v>
      </c>
      <c r="B23" s="3">
        <v>50</v>
      </c>
      <c r="C23" s="3">
        <v>1</v>
      </c>
      <c r="D23" s="3">
        <f t="shared" si="4"/>
        <v>100</v>
      </c>
      <c r="E23" s="3">
        <f t="shared" si="0"/>
        <v>16.780793663889124</v>
      </c>
      <c r="F23" s="3">
        <v>15</v>
      </c>
      <c r="G23" s="3">
        <v>326.89999999999998</v>
      </c>
      <c r="H23" s="3">
        <v>424.7</v>
      </c>
      <c r="I23" s="3">
        <v>260.60000000000002</v>
      </c>
      <c r="J23" s="3">
        <v>386.2</v>
      </c>
      <c r="K23" s="3">
        <v>378.4</v>
      </c>
      <c r="L23" s="3">
        <v>334.1</v>
      </c>
      <c r="M23" s="3">
        <v>386.2</v>
      </c>
      <c r="N23" s="3">
        <v>308</v>
      </c>
      <c r="O23" s="3">
        <v>224.7</v>
      </c>
      <c r="P23" s="3">
        <v>218.3</v>
      </c>
      <c r="Q23" s="3">
        <v>364.6</v>
      </c>
      <c r="R23" s="3">
        <v>362.3</v>
      </c>
      <c r="S23" s="3">
        <v>278.39999999999998</v>
      </c>
      <c r="T23" s="3">
        <v>325.5</v>
      </c>
      <c r="U23" s="3">
        <v>269.5</v>
      </c>
      <c r="V23" s="3">
        <f t="shared" si="1"/>
        <v>323.22666666666663</v>
      </c>
      <c r="W23" s="3">
        <v>15</v>
      </c>
      <c r="X23" s="3">
        <v>274.5</v>
      </c>
      <c r="Y23" s="3">
        <v>376.9</v>
      </c>
      <c r="Z23" s="3">
        <v>344.2</v>
      </c>
      <c r="AA23" s="3">
        <v>233.5</v>
      </c>
      <c r="AB23" s="3">
        <v>237.1</v>
      </c>
      <c r="AC23" s="3">
        <v>265</v>
      </c>
      <c r="AD23" s="3">
        <v>320</v>
      </c>
      <c r="AE23" s="3">
        <v>316.89999999999998</v>
      </c>
      <c r="AF23" s="3">
        <v>190.1</v>
      </c>
      <c r="AG23" s="3">
        <v>300.10000000000002</v>
      </c>
      <c r="AH23" s="3">
        <v>301.10000000000002</v>
      </c>
      <c r="AI23" s="3">
        <v>371.4</v>
      </c>
      <c r="AJ23" s="3">
        <v>148.30000000000001</v>
      </c>
      <c r="AK23" s="3">
        <v>190</v>
      </c>
      <c r="AL23" s="3">
        <v>165.7</v>
      </c>
      <c r="AM23" s="3">
        <f t="shared" si="2"/>
        <v>268.98666666666662</v>
      </c>
    </row>
    <row r="24" spans="1:39">
      <c r="A24" s="3" t="s">
        <v>4</v>
      </c>
      <c r="B24" s="3">
        <v>50</v>
      </c>
      <c r="C24" s="3">
        <v>2</v>
      </c>
      <c r="D24" s="3">
        <f t="shared" si="4"/>
        <v>100</v>
      </c>
      <c r="E24" s="3">
        <f t="shared" si="0"/>
        <v>20.404475514264341</v>
      </c>
      <c r="F24" s="3">
        <v>15</v>
      </c>
      <c r="G24" s="3">
        <v>408.4</v>
      </c>
      <c r="H24" s="3">
        <v>340.5</v>
      </c>
      <c r="I24" s="3">
        <v>423.7</v>
      </c>
      <c r="J24" s="3">
        <v>371.1</v>
      </c>
      <c r="K24" s="3">
        <v>228.2</v>
      </c>
      <c r="L24" s="3">
        <v>221</v>
      </c>
      <c r="M24" s="3">
        <v>461.7</v>
      </c>
      <c r="N24" s="3">
        <v>343.9</v>
      </c>
      <c r="O24" s="3">
        <v>372.1</v>
      </c>
      <c r="P24" s="3">
        <v>281.89999999999998</v>
      </c>
      <c r="Q24" s="3">
        <v>352.8</v>
      </c>
      <c r="R24" s="3">
        <v>238.2</v>
      </c>
      <c r="S24" s="3">
        <v>525.20000000000005</v>
      </c>
      <c r="T24" s="3">
        <v>469.2</v>
      </c>
      <c r="U24" s="3">
        <v>440.8</v>
      </c>
      <c r="V24" s="3">
        <f t="shared" si="1"/>
        <v>365.24666666666667</v>
      </c>
      <c r="W24" s="3">
        <v>15</v>
      </c>
      <c r="X24" s="3">
        <v>313.60000000000002</v>
      </c>
      <c r="Y24" s="3">
        <v>478</v>
      </c>
      <c r="Z24" s="3">
        <v>164.6</v>
      </c>
      <c r="AA24" s="3">
        <v>246.1</v>
      </c>
      <c r="AB24" s="3">
        <v>324.89999999999998</v>
      </c>
      <c r="AC24" s="3">
        <v>324.3</v>
      </c>
      <c r="AD24" s="3">
        <v>257.39999999999998</v>
      </c>
      <c r="AE24" s="3">
        <v>340.2</v>
      </c>
      <c r="AF24" s="3">
        <v>359.4</v>
      </c>
      <c r="AG24" s="3">
        <v>281.10000000000002</v>
      </c>
      <c r="AH24" s="3">
        <v>267.2</v>
      </c>
      <c r="AI24" s="3">
        <v>286.7</v>
      </c>
      <c r="AJ24" s="3">
        <v>335.5</v>
      </c>
      <c r="AK24" s="3">
        <v>197.1</v>
      </c>
      <c r="AL24" s="3">
        <v>184.7</v>
      </c>
      <c r="AM24" s="3">
        <f t="shared" si="2"/>
        <v>290.71999999999997</v>
      </c>
    </row>
    <row r="25" spans="1:39">
      <c r="A25" s="3" t="s">
        <v>4</v>
      </c>
      <c r="B25" s="3">
        <v>50</v>
      </c>
      <c r="C25" s="3">
        <v>3</v>
      </c>
      <c r="D25" s="3">
        <f t="shared" si="4"/>
        <v>93.333333333333329</v>
      </c>
      <c r="E25" s="3">
        <f t="shared" si="0"/>
        <v>24.017970315885432</v>
      </c>
      <c r="F25" s="3">
        <v>15</v>
      </c>
      <c r="G25" s="3">
        <v>374.7</v>
      </c>
      <c r="H25" s="3">
        <v>347.2</v>
      </c>
      <c r="I25" s="3">
        <v>291.60000000000002</v>
      </c>
      <c r="J25" s="3">
        <v>296.5</v>
      </c>
      <c r="K25" s="3">
        <v>258.8</v>
      </c>
      <c r="L25" s="3">
        <v>310</v>
      </c>
      <c r="M25" s="3">
        <v>368.4</v>
      </c>
      <c r="N25" s="3">
        <v>331.8</v>
      </c>
      <c r="O25" s="3">
        <v>332.8</v>
      </c>
      <c r="P25" s="3">
        <v>208.7</v>
      </c>
      <c r="Q25" s="3">
        <v>233.8</v>
      </c>
      <c r="R25" s="3">
        <v>248.6</v>
      </c>
      <c r="S25" s="3">
        <v>266.7</v>
      </c>
      <c r="T25" s="3">
        <v>415.6</v>
      </c>
      <c r="U25" s="3">
        <v>290.60000000000002</v>
      </c>
      <c r="V25" s="3">
        <f t="shared" ref="V25" si="11">AVERAGE(G25:U25)</f>
        <v>305.05333333333334</v>
      </c>
      <c r="W25" s="3">
        <v>14</v>
      </c>
      <c r="X25" s="3">
        <v>218.1</v>
      </c>
      <c r="Y25" s="3">
        <v>198.8</v>
      </c>
      <c r="Z25" s="3">
        <v>246.6</v>
      </c>
      <c r="AA25" s="3">
        <v>269.89999999999998</v>
      </c>
      <c r="AB25" s="3">
        <v>157.80000000000001</v>
      </c>
      <c r="AC25" s="3">
        <v>205.8</v>
      </c>
      <c r="AD25" s="3">
        <v>308.39999999999998</v>
      </c>
      <c r="AE25" s="3">
        <v>223.1</v>
      </c>
      <c r="AF25" s="3">
        <v>279.60000000000002</v>
      </c>
      <c r="AG25" s="3">
        <v>258.3</v>
      </c>
      <c r="AH25" s="3">
        <v>276.3</v>
      </c>
      <c r="AI25" s="3">
        <v>165.6</v>
      </c>
      <c r="AJ25" s="3">
        <v>183.9</v>
      </c>
      <c r="AK25" s="3">
        <v>252.8</v>
      </c>
      <c r="AL25" s="3"/>
      <c r="AM25" s="3">
        <f t="shared" si="2"/>
        <v>231.78571428571431</v>
      </c>
    </row>
    <row r="26" spans="1:39">
      <c r="A26" s="3" t="s">
        <v>5</v>
      </c>
      <c r="B26" s="3">
        <v>0</v>
      </c>
      <c r="C26" s="3">
        <v>1</v>
      </c>
      <c r="D26" s="3">
        <f t="shared" si="4"/>
        <v>100</v>
      </c>
      <c r="E26" s="3">
        <f t="shared" si="0"/>
        <v>5.9800270417724439</v>
      </c>
      <c r="F26" s="3">
        <v>15</v>
      </c>
      <c r="G26" s="3">
        <v>289.5</v>
      </c>
      <c r="H26" s="3">
        <v>280.2</v>
      </c>
      <c r="I26" s="3">
        <v>262.60000000000002</v>
      </c>
      <c r="J26" s="3">
        <v>200</v>
      </c>
      <c r="K26" s="3">
        <v>278.7</v>
      </c>
      <c r="L26" s="3">
        <v>300.5</v>
      </c>
      <c r="M26" s="3">
        <v>339.1</v>
      </c>
      <c r="N26" s="3">
        <v>284</v>
      </c>
      <c r="O26" s="3">
        <v>254</v>
      </c>
      <c r="P26" s="3">
        <v>356</v>
      </c>
      <c r="Q26" s="3">
        <v>251.1</v>
      </c>
      <c r="R26" s="3">
        <v>269.60000000000002</v>
      </c>
      <c r="S26" s="3">
        <v>324.2</v>
      </c>
      <c r="T26" s="3">
        <v>273.8</v>
      </c>
      <c r="U26" s="3">
        <v>252.4</v>
      </c>
      <c r="V26" s="3">
        <f t="shared" si="1"/>
        <v>281.04666666666668</v>
      </c>
      <c r="W26" s="3">
        <v>15</v>
      </c>
      <c r="X26" s="3">
        <v>257.39999999999998</v>
      </c>
      <c r="Y26" s="3">
        <v>285.2</v>
      </c>
      <c r="Z26" s="3">
        <v>205.6</v>
      </c>
      <c r="AA26" s="3">
        <v>151.5</v>
      </c>
      <c r="AB26" s="3">
        <v>289</v>
      </c>
      <c r="AC26" s="3">
        <v>245.9</v>
      </c>
      <c r="AD26" s="3">
        <v>312.10000000000002</v>
      </c>
      <c r="AE26" s="3">
        <v>303.2</v>
      </c>
      <c r="AF26" s="3">
        <v>199.2</v>
      </c>
      <c r="AG26" s="3">
        <v>254.4</v>
      </c>
      <c r="AH26" s="3">
        <v>268.3</v>
      </c>
      <c r="AI26" s="3">
        <v>263.2</v>
      </c>
      <c r="AJ26" s="3">
        <v>287.7</v>
      </c>
      <c r="AK26" s="3">
        <v>333.5</v>
      </c>
      <c r="AL26" s="3">
        <v>307.39999999999998</v>
      </c>
      <c r="AM26" s="3">
        <f t="shared" si="2"/>
        <v>264.23999999999995</v>
      </c>
    </row>
    <row r="27" spans="1:39">
      <c r="A27" s="3" t="s">
        <v>5</v>
      </c>
      <c r="B27" s="3">
        <v>0</v>
      </c>
      <c r="C27" s="3">
        <v>2</v>
      </c>
      <c r="D27" s="3">
        <f t="shared" si="4"/>
        <v>93.333333333333329</v>
      </c>
      <c r="E27" s="3">
        <f t="shared" si="0"/>
        <v>15.793161298293411</v>
      </c>
      <c r="F27" s="3">
        <v>15</v>
      </c>
      <c r="G27" s="3">
        <v>394.3</v>
      </c>
      <c r="H27" s="3">
        <v>247.5</v>
      </c>
      <c r="I27" s="3">
        <v>262.10000000000002</v>
      </c>
      <c r="J27" s="3">
        <v>251.7</v>
      </c>
      <c r="K27" s="3">
        <v>207.8</v>
      </c>
      <c r="L27" s="3">
        <v>274.8</v>
      </c>
      <c r="M27" s="3">
        <v>244.3</v>
      </c>
      <c r="N27" s="3">
        <v>412.8</v>
      </c>
      <c r="O27" s="3">
        <v>346.3</v>
      </c>
      <c r="P27" s="3">
        <v>256.8</v>
      </c>
      <c r="Q27" s="3">
        <v>405.7</v>
      </c>
      <c r="R27" s="3">
        <v>403.9</v>
      </c>
      <c r="S27" s="3">
        <v>232.9</v>
      </c>
      <c r="T27" s="3">
        <v>220.1</v>
      </c>
      <c r="U27" s="3">
        <v>232.9</v>
      </c>
      <c r="V27" s="3">
        <f t="shared" si="1"/>
        <v>292.92666666666662</v>
      </c>
      <c r="W27" s="3">
        <v>14</v>
      </c>
      <c r="X27" s="3">
        <v>354.3</v>
      </c>
      <c r="Y27" s="3">
        <v>243.2</v>
      </c>
      <c r="Z27" s="3">
        <v>160.80000000000001</v>
      </c>
      <c r="AA27" s="3">
        <v>193.7</v>
      </c>
      <c r="AB27" s="3">
        <v>262.5</v>
      </c>
      <c r="AC27" s="3">
        <v>228.5</v>
      </c>
      <c r="AD27" s="3">
        <v>284.60000000000002</v>
      </c>
      <c r="AE27" s="3">
        <v>201</v>
      </c>
      <c r="AF27" s="3">
        <v>314.3</v>
      </c>
      <c r="AG27" s="3">
        <v>231.5</v>
      </c>
      <c r="AH27" s="3">
        <v>301.5</v>
      </c>
      <c r="AI27" s="3">
        <v>250.2</v>
      </c>
      <c r="AJ27" s="3">
        <v>277.10000000000002</v>
      </c>
      <c r="AK27" s="3">
        <v>150.1</v>
      </c>
      <c r="AL27" s="3"/>
      <c r="AM27" s="3">
        <f t="shared" si="2"/>
        <v>246.66428571428568</v>
      </c>
    </row>
    <row r="28" spans="1:39">
      <c r="A28" s="3" t="s">
        <v>5</v>
      </c>
      <c r="B28" s="3">
        <v>0</v>
      </c>
      <c r="C28" s="3">
        <v>3</v>
      </c>
      <c r="D28" s="3">
        <f t="shared" si="4"/>
        <v>100</v>
      </c>
      <c r="E28" s="3">
        <f t="shared" si="0"/>
        <v>20.348304307974331</v>
      </c>
      <c r="F28" s="3">
        <v>15</v>
      </c>
      <c r="G28" s="3">
        <v>351.8</v>
      </c>
      <c r="H28" s="3">
        <v>424</v>
      </c>
      <c r="I28" s="3">
        <v>443.6</v>
      </c>
      <c r="J28" s="3">
        <v>353.9</v>
      </c>
      <c r="K28" s="3">
        <v>413.3</v>
      </c>
      <c r="L28" s="3">
        <v>397</v>
      </c>
      <c r="M28" s="3">
        <v>292.10000000000002</v>
      </c>
      <c r="N28" s="3">
        <v>295.8</v>
      </c>
      <c r="O28" s="3">
        <v>418.6</v>
      </c>
      <c r="P28" s="3">
        <v>295.8</v>
      </c>
      <c r="Q28" s="3">
        <v>333.5</v>
      </c>
      <c r="R28" s="3">
        <v>455.5</v>
      </c>
      <c r="S28" s="3">
        <v>340.7</v>
      </c>
      <c r="T28" s="3">
        <v>445.2</v>
      </c>
      <c r="U28" s="3">
        <v>412.4</v>
      </c>
      <c r="V28" s="3">
        <f t="shared" ref="V28" si="12">AVERAGE(G28:U28)</f>
        <v>378.21333333333331</v>
      </c>
      <c r="W28" s="3">
        <v>15</v>
      </c>
      <c r="X28" s="3">
        <v>313.10000000000002</v>
      </c>
      <c r="Y28" s="3">
        <v>298.60000000000002</v>
      </c>
      <c r="Z28" s="3">
        <v>336.3</v>
      </c>
      <c r="AA28" s="3">
        <v>379.4</v>
      </c>
      <c r="AB28" s="3">
        <v>300.7</v>
      </c>
      <c r="AC28" s="3">
        <v>359.6</v>
      </c>
      <c r="AD28" s="3">
        <v>216.4</v>
      </c>
      <c r="AE28" s="3">
        <v>261.39999999999998</v>
      </c>
      <c r="AF28" s="3">
        <v>307.10000000000002</v>
      </c>
      <c r="AG28" s="3">
        <v>243.2</v>
      </c>
      <c r="AH28" s="3">
        <v>281.10000000000002</v>
      </c>
      <c r="AI28" s="3">
        <v>264.2</v>
      </c>
      <c r="AJ28" s="3">
        <v>307.39999999999998</v>
      </c>
      <c r="AK28" s="3">
        <v>314.7</v>
      </c>
      <c r="AL28" s="3">
        <v>335.6</v>
      </c>
      <c r="AM28" s="3">
        <f t="shared" si="2"/>
        <v>301.25333333333333</v>
      </c>
    </row>
  </sheetData>
  <phoneticPr fontId="1" type="noConversion"/>
  <pageMargins left="0.25" right="0.25" top="0.75" bottom="0.75" header="0.3" footer="0.3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283B-B26D-492F-9DFB-23209EF42B41}">
  <dimension ref="A1:G28"/>
  <sheetViews>
    <sheetView workbookViewId="0">
      <selection activeCell="H1" sqref="H1:I1048576"/>
    </sheetView>
  </sheetViews>
  <sheetFormatPr defaultColWidth="9.140625" defaultRowHeight="15"/>
  <cols>
    <col min="1" max="1" width="9.140625" style="1"/>
    <col min="2" max="2" width="24.85546875" style="1" customWidth="1"/>
    <col min="3" max="3" width="9.140625" style="1"/>
    <col min="4" max="4" width="29.42578125" style="1" bestFit="1" customWidth="1"/>
    <col min="5" max="5" width="13" style="1" bestFit="1" customWidth="1"/>
    <col min="6" max="6" width="15.5703125" style="1" bestFit="1" customWidth="1"/>
    <col min="7" max="7" width="20.140625" style="1" bestFit="1" customWidth="1"/>
    <col min="8" max="16384" width="9.140625" style="1"/>
  </cols>
  <sheetData>
    <row r="1" spans="1:7">
      <c r="A1" s="1" t="s">
        <v>0</v>
      </c>
      <c r="B1" s="1" t="s">
        <v>2</v>
      </c>
      <c r="C1" s="1" t="s">
        <v>3</v>
      </c>
      <c r="D1" s="1" t="s">
        <v>29</v>
      </c>
      <c r="E1" s="1" t="s">
        <v>21</v>
      </c>
      <c r="F1" s="1" t="s">
        <v>20</v>
      </c>
      <c r="G1" s="2" t="s">
        <v>32</v>
      </c>
    </row>
    <row r="2" spans="1:7">
      <c r="A2" s="1" t="s">
        <v>30</v>
      </c>
      <c r="B2" s="1">
        <v>0.1</v>
      </c>
      <c r="C2" s="1">
        <v>1</v>
      </c>
      <c r="D2" s="1">
        <v>3.39</v>
      </c>
      <c r="E2" s="1">
        <f>D2*0.125</f>
        <v>0.42375000000000002</v>
      </c>
      <c r="F2" s="1">
        <v>0.76629999999999998</v>
      </c>
      <c r="G2" s="1">
        <f>E2/F2</f>
        <v>0.55298186088999091</v>
      </c>
    </row>
    <row r="3" spans="1:7">
      <c r="A3" s="1" t="s">
        <v>30</v>
      </c>
      <c r="B3" s="1">
        <v>0.1</v>
      </c>
      <c r="C3" s="1">
        <v>2</v>
      </c>
      <c r="D3" s="1">
        <v>2.14</v>
      </c>
      <c r="E3" s="1">
        <f t="shared" ref="E3:E28" si="0">D3*0.125</f>
        <v>0.26750000000000002</v>
      </c>
      <c r="F3" s="1">
        <v>0.77680000000000005</v>
      </c>
      <c r="G3" s="1">
        <f t="shared" ref="G3:G27" si="1">E3/F3</f>
        <v>0.34436148300720903</v>
      </c>
    </row>
    <row r="4" spans="1:7">
      <c r="A4" s="1" t="s">
        <v>30</v>
      </c>
      <c r="B4" s="1">
        <v>0.1</v>
      </c>
      <c r="C4" s="1">
        <v>3</v>
      </c>
      <c r="D4" s="1">
        <v>1.49</v>
      </c>
      <c r="E4" s="1">
        <f t="shared" si="0"/>
        <v>0.18625</v>
      </c>
      <c r="F4" s="1">
        <v>0.6694</v>
      </c>
      <c r="G4" s="1">
        <f t="shared" si="1"/>
        <v>0.27823423961756799</v>
      </c>
    </row>
    <row r="5" spans="1:7">
      <c r="A5" s="1" t="s">
        <v>30</v>
      </c>
      <c r="B5" s="1">
        <v>1</v>
      </c>
      <c r="C5" s="1">
        <v>1</v>
      </c>
      <c r="D5" s="1">
        <v>7.48</v>
      </c>
      <c r="E5" s="1">
        <f t="shared" si="0"/>
        <v>0.93500000000000005</v>
      </c>
      <c r="F5" s="1">
        <v>0.75580000000000003</v>
      </c>
      <c r="G5" s="1">
        <f t="shared" si="1"/>
        <v>1.2370997618417572</v>
      </c>
    </row>
    <row r="6" spans="1:7">
      <c r="A6" s="1" t="s">
        <v>30</v>
      </c>
      <c r="B6" s="1">
        <v>1</v>
      </c>
      <c r="C6" s="1">
        <v>2</v>
      </c>
      <c r="D6" s="1">
        <v>9.4700000000000006</v>
      </c>
      <c r="E6" s="1">
        <f t="shared" si="0"/>
        <v>1.1837500000000001</v>
      </c>
      <c r="F6" s="1">
        <v>0.72</v>
      </c>
      <c r="G6" s="1">
        <f t="shared" si="1"/>
        <v>1.6440972222222223</v>
      </c>
    </row>
    <row r="7" spans="1:7">
      <c r="A7" s="1" t="s">
        <v>30</v>
      </c>
      <c r="B7" s="1">
        <v>1</v>
      </c>
      <c r="C7" s="1">
        <v>3</v>
      </c>
      <c r="D7" s="1">
        <v>6.47</v>
      </c>
      <c r="E7" s="1">
        <f t="shared" si="0"/>
        <v>0.80874999999999997</v>
      </c>
      <c r="F7" s="1">
        <v>0.71540000000000004</v>
      </c>
      <c r="G7" s="1">
        <f t="shared" si="1"/>
        <v>1.1304864411518032</v>
      </c>
    </row>
    <row r="8" spans="1:7">
      <c r="A8" s="1" t="s">
        <v>30</v>
      </c>
      <c r="B8" s="1">
        <v>10</v>
      </c>
      <c r="C8" s="1">
        <v>1</v>
      </c>
      <c r="D8" s="1">
        <v>42.65</v>
      </c>
      <c r="E8" s="1">
        <f t="shared" si="0"/>
        <v>5.3312499999999998</v>
      </c>
      <c r="F8" s="1">
        <v>0.72040000000000004</v>
      </c>
      <c r="G8" s="1">
        <f t="shared" si="1"/>
        <v>7.4004025541365905</v>
      </c>
    </row>
    <row r="9" spans="1:7">
      <c r="A9" s="1" t="s">
        <v>30</v>
      </c>
      <c r="B9" s="1">
        <v>10</v>
      </c>
      <c r="C9" s="1">
        <v>2</v>
      </c>
      <c r="D9" s="1">
        <v>43.25</v>
      </c>
      <c r="E9" s="1">
        <f t="shared" si="0"/>
        <v>5.40625</v>
      </c>
      <c r="F9" s="1">
        <v>0.84389999999999998</v>
      </c>
      <c r="G9" s="1">
        <f t="shared" si="1"/>
        <v>6.4062685152269223</v>
      </c>
    </row>
    <row r="10" spans="1:7">
      <c r="A10" s="1" t="s">
        <v>30</v>
      </c>
      <c r="B10" s="1">
        <v>10</v>
      </c>
      <c r="C10" s="1">
        <v>3</v>
      </c>
      <c r="D10" s="1">
        <v>33.86</v>
      </c>
      <c r="E10" s="1">
        <f t="shared" si="0"/>
        <v>4.2324999999999999</v>
      </c>
      <c r="F10" s="1">
        <v>0.73309999999999997</v>
      </c>
      <c r="G10" s="1">
        <f t="shared" si="1"/>
        <v>5.7734279088800982</v>
      </c>
    </row>
    <row r="11" spans="1:7">
      <c r="A11" s="1" t="s">
        <v>30</v>
      </c>
      <c r="B11" s="1">
        <v>50</v>
      </c>
      <c r="C11" s="1">
        <v>1</v>
      </c>
      <c r="D11" s="1">
        <v>111.92</v>
      </c>
      <c r="E11" s="1">
        <f t="shared" si="0"/>
        <v>13.99</v>
      </c>
      <c r="F11" s="1">
        <v>0.73719999999999997</v>
      </c>
      <c r="G11" s="1">
        <f t="shared" si="1"/>
        <v>18.977211068909387</v>
      </c>
    </row>
    <row r="12" spans="1:7">
      <c r="A12" s="1" t="s">
        <v>30</v>
      </c>
      <c r="B12" s="1">
        <v>50</v>
      </c>
      <c r="C12" s="1">
        <v>2</v>
      </c>
      <c r="D12" s="1">
        <v>109.95</v>
      </c>
      <c r="E12" s="1">
        <f t="shared" si="0"/>
        <v>13.74375</v>
      </c>
      <c r="F12" s="1">
        <v>0.65700000000000003</v>
      </c>
      <c r="G12" s="1">
        <f t="shared" si="1"/>
        <v>20.918949771689498</v>
      </c>
    </row>
    <row r="13" spans="1:7">
      <c r="A13" s="1" t="s">
        <v>30</v>
      </c>
      <c r="B13" s="1">
        <v>50</v>
      </c>
      <c r="C13" s="1">
        <v>3</v>
      </c>
      <c r="D13" s="1">
        <v>125.13</v>
      </c>
      <c r="E13" s="1">
        <f t="shared" si="0"/>
        <v>15.641249999999999</v>
      </c>
      <c r="F13" s="1">
        <v>0.6573</v>
      </c>
      <c r="G13" s="1">
        <f t="shared" si="1"/>
        <v>23.796211775445002</v>
      </c>
    </row>
    <row r="14" spans="1:7">
      <c r="A14" s="1" t="s">
        <v>31</v>
      </c>
      <c r="B14" s="1">
        <v>0.1</v>
      </c>
      <c r="C14" s="1">
        <v>1</v>
      </c>
      <c r="D14" s="1">
        <v>2.66</v>
      </c>
      <c r="E14" s="1">
        <f t="shared" si="0"/>
        <v>0.33250000000000002</v>
      </c>
      <c r="F14" s="1">
        <v>0.76670000000000005</v>
      </c>
      <c r="G14" s="1">
        <f t="shared" si="1"/>
        <v>0.43367679666101472</v>
      </c>
    </row>
    <row r="15" spans="1:7">
      <c r="A15" s="1" t="s">
        <v>31</v>
      </c>
      <c r="B15" s="1">
        <v>0.1</v>
      </c>
      <c r="C15" s="1">
        <v>2</v>
      </c>
      <c r="D15" s="1">
        <v>2.91</v>
      </c>
      <c r="E15" s="1">
        <f t="shared" si="0"/>
        <v>0.36375000000000002</v>
      </c>
      <c r="F15" s="1">
        <v>0.54149999999999998</v>
      </c>
      <c r="G15" s="1">
        <f t="shared" si="1"/>
        <v>0.67174515235457066</v>
      </c>
    </row>
    <row r="16" spans="1:7">
      <c r="A16" s="1" t="s">
        <v>31</v>
      </c>
      <c r="B16" s="1">
        <v>0.1</v>
      </c>
      <c r="C16" s="1">
        <v>3</v>
      </c>
      <c r="D16" s="1">
        <v>1.66</v>
      </c>
      <c r="E16" s="1">
        <f t="shared" si="0"/>
        <v>0.20749999999999999</v>
      </c>
      <c r="F16" s="1">
        <v>0.63790000000000002</v>
      </c>
      <c r="G16" s="1">
        <f t="shared" si="1"/>
        <v>0.32528609499921612</v>
      </c>
    </row>
    <row r="17" spans="1:7">
      <c r="A17" s="1" t="s">
        <v>31</v>
      </c>
      <c r="B17" s="1">
        <v>1</v>
      </c>
      <c r="C17" s="1">
        <v>1</v>
      </c>
      <c r="D17" s="1">
        <v>4.04</v>
      </c>
      <c r="E17" s="1">
        <f t="shared" si="0"/>
        <v>0.505</v>
      </c>
      <c r="F17" s="1">
        <v>0.60060000000000002</v>
      </c>
      <c r="G17" s="1">
        <f t="shared" si="1"/>
        <v>0.84082584082584078</v>
      </c>
    </row>
    <row r="18" spans="1:7">
      <c r="A18" s="1" t="s">
        <v>31</v>
      </c>
      <c r="B18" s="1">
        <v>1</v>
      </c>
      <c r="C18" s="1">
        <v>2</v>
      </c>
      <c r="D18" s="1">
        <v>7.92</v>
      </c>
      <c r="E18" s="1">
        <f t="shared" si="0"/>
        <v>0.99</v>
      </c>
      <c r="F18" s="1">
        <v>0.9012</v>
      </c>
      <c r="G18" s="1">
        <f t="shared" si="1"/>
        <v>1.0985352862849533</v>
      </c>
    </row>
    <row r="19" spans="1:7">
      <c r="A19" s="1" t="s">
        <v>31</v>
      </c>
      <c r="B19" s="1">
        <v>1</v>
      </c>
      <c r="C19" s="1">
        <v>3</v>
      </c>
      <c r="D19" s="1">
        <v>7.41</v>
      </c>
      <c r="E19" s="1">
        <f t="shared" si="0"/>
        <v>0.92625000000000002</v>
      </c>
      <c r="F19" s="1">
        <v>0.74909999999999999</v>
      </c>
      <c r="G19" s="1">
        <f t="shared" si="1"/>
        <v>1.236483780536644</v>
      </c>
    </row>
    <row r="20" spans="1:7">
      <c r="A20" s="1" t="s">
        <v>31</v>
      </c>
      <c r="B20" s="1">
        <v>10</v>
      </c>
      <c r="C20" s="1">
        <v>1</v>
      </c>
      <c r="D20" s="1">
        <v>40.450000000000003</v>
      </c>
      <c r="E20" s="1">
        <f t="shared" si="0"/>
        <v>5.0562500000000004</v>
      </c>
      <c r="F20" s="1">
        <v>0.79069999999999996</v>
      </c>
      <c r="G20" s="1">
        <f t="shared" si="1"/>
        <v>6.3946503098520306</v>
      </c>
    </row>
    <row r="21" spans="1:7">
      <c r="A21" s="1" t="s">
        <v>31</v>
      </c>
      <c r="B21" s="1">
        <v>10</v>
      </c>
      <c r="C21" s="1">
        <v>2</v>
      </c>
      <c r="D21" s="1">
        <v>22.93</v>
      </c>
      <c r="E21" s="1">
        <f t="shared" si="0"/>
        <v>2.86625</v>
      </c>
      <c r="F21" s="1">
        <v>0.72030000000000005</v>
      </c>
      <c r="G21" s="1">
        <f t="shared" si="1"/>
        <v>3.9792447591281408</v>
      </c>
    </row>
    <row r="22" spans="1:7">
      <c r="A22" s="1" t="s">
        <v>31</v>
      </c>
      <c r="B22" s="1">
        <v>10</v>
      </c>
      <c r="C22" s="1">
        <v>3</v>
      </c>
      <c r="D22" s="1">
        <v>18.27</v>
      </c>
      <c r="E22" s="1">
        <f t="shared" si="0"/>
        <v>2.2837499999999999</v>
      </c>
      <c r="F22" s="1">
        <v>0.67120000000000002</v>
      </c>
      <c r="G22" s="1">
        <f t="shared" si="1"/>
        <v>3.4024880810488676</v>
      </c>
    </row>
    <row r="23" spans="1:7">
      <c r="A23" s="1" t="s">
        <v>31</v>
      </c>
      <c r="B23" s="1">
        <v>50</v>
      </c>
      <c r="C23" s="1">
        <v>1</v>
      </c>
      <c r="D23" s="1">
        <v>80.510000000000005</v>
      </c>
      <c r="E23" s="1">
        <f t="shared" si="0"/>
        <v>10.063750000000001</v>
      </c>
      <c r="F23" s="1">
        <v>0.73360000000000003</v>
      </c>
      <c r="G23" s="1">
        <f t="shared" si="1"/>
        <v>13.718306979280262</v>
      </c>
    </row>
    <row r="24" spans="1:7">
      <c r="A24" s="1" t="s">
        <v>31</v>
      </c>
      <c r="B24" s="1">
        <v>50</v>
      </c>
      <c r="C24" s="1">
        <v>2</v>
      </c>
      <c r="D24" s="1">
        <v>58.91</v>
      </c>
      <c r="E24" s="1">
        <f t="shared" si="0"/>
        <v>7.3637499999999996</v>
      </c>
      <c r="F24" s="1">
        <v>0.81259999999999999</v>
      </c>
      <c r="G24" s="1">
        <f t="shared" si="1"/>
        <v>9.0619616047255711</v>
      </c>
    </row>
    <row r="25" spans="1:7">
      <c r="A25" s="1" t="s">
        <v>31</v>
      </c>
      <c r="B25" s="1">
        <v>50</v>
      </c>
      <c r="C25" s="1">
        <v>3</v>
      </c>
      <c r="D25" s="1">
        <v>50.39</v>
      </c>
      <c r="E25" s="1">
        <f t="shared" si="0"/>
        <v>6.2987500000000001</v>
      </c>
      <c r="F25" s="1">
        <v>0.5958</v>
      </c>
      <c r="G25" s="1">
        <f t="shared" si="1"/>
        <v>10.571920107418597</v>
      </c>
    </row>
    <row r="26" spans="1:7">
      <c r="A26" s="1" t="s">
        <v>5</v>
      </c>
      <c r="B26" s="1">
        <v>0</v>
      </c>
      <c r="C26" s="1">
        <v>1</v>
      </c>
      <c r="D26" s="1">
        <v>1.28</v>
      </c>
      <c r="E26" s="1">
        <f t="shared" si="0"/>
        <v>0.16</v>
      </c>
      <c r="F26" s="1">
        <v>0.64329999999999998</v>
      </c>
      <c r="G26" s="1">
        <f t="shared" si="1"/>
        <v>0.2487175501321312</v>
      </c>
    </row>
    <row r="27" spans="1:7">
      <c r="A27" s="1" t="s">
        <v>5</v>
      </c>
      <c r="B27" s="1">
        <v>0</v>
      </c>
      <c r="C27" s="1">
        <v>2</v>
      </c>
      <c r="D27" s="1">
        <v>0.86</v>
      </c>
      <c r="E27" s="1">
        <f t="shared" si="0"/>
        <v>0.1075</v>
      </c>
      <c r="F27" s="1">
        <v>0.69579999999999997</v>
      </c>
      <c r="G27" s="1">
        <f t="shared" si="1"/>
        <v>0.15449841908594425</v>
      </c>
    </row>
    <row r="28" spans="1:7">
      <c r="A28" s="1" t="s">
        <v>5</v>
      </c>
      <c r="B28" s="1">
        <v>0</v>
      </c>
      <c r="C28" s="1">
        <v>3</v>
      </c>
      <c r="D28" s="1">
        <v>0.9</v>
      </c>
      <c r="E28" s="1">
        <f t="shared" si="0"/>
        <v>0.1125</v>
      </c>
      <c r="F28" s="1">
        <v>0.76859999999999995</v>
      </c>
      <c r="G28" s="1">
        <f t="shared" ref="G28" si="2">E28/F28</f>
        <v>0.14637002341920377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 loss</vt:lpstr>
      <vt:lpstr>Bioaccumulation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Po-Hao Chen</dc:creator>
  <cp:lastModifiedBy>Po-Hao Chen</cp:lastModifiedBy>
  <cp:lastPrinted>2025-06-05T07:19:09Z</cp:lastPrinted>
  <dcterms:created xsi:type="dcterms:W3CDTF">2015-06-05T18:17:20Z</dcterms:created>
  <dcterms:modified xsi:type="dcterms:W3CDTF">2026-08-31T03:49:42Z</dcterms:modified>
</cp:coreProperties>
</file>